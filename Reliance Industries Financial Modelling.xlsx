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ad465b0b741610/Desktop/"/>
    </mc:Choice>
  </mc:AlternateContent>
  <xr:revisionPtr revIDLastSave="86" documentId="8_{EAC3809B-9B2A-4C9F-ACB3-B128A55E0ADE}" xr6:coauthVersionLast="47" xr6:coauthVersionMax="47" xr10:uidLastSave="{D3C2BD6E-6004-4782-8DEE-30509538F4CF}"/>
  <bookViews>
    <workbookView xWindow="-108" yWindow="-108" windowWidth="23256" windowHeight="12576" xr2:uid="{FA98B908-C1E2-47C7-B8BB-3F0C84BA4F70}"/>
  </bookViews>
  <sheets>
    <sheet name="Sheet1" sheetId="1" r:id="rId1"/>
    <sheet name="Data Sheet" sheetId="2" r:id="rId2"/>
    <sheet name="Comps" sheetId="3" r:id="rId3"/>
  </sheets>
  <externalReferences>
    <externalReference r:id="rId4"/>
  </externalReferences>
  <definedNames>
    <definedName name="Beta">'[1]Simplification&gt;'!$C$5</definedName>
    <definedName name="Cost_Of_debt">'[1]Simplify using Name'!$C$9</definedName>
    <definedName name="Cost_Of_equity">'[1]Simplify using Name'!$C$7</definedName>
    <definedName name="CostofDebt">'[1]Simplification&gt;'!$C$6</definedName>
    <definedName name="Current_Sales">'[1]Simplify using Name'!$G$8</definedName>
    <definedName name="Debt_Funding">'[1]Simplify using Name'!$C$16</definedName>
    <definedName name="Debt_Value">'[1]Simplify using Name'!$C$14</definedName>
    <definedName name="DebtValue">'[1]Simplification&gt;'!$C$9</definedName>
    <definedName name="Equity_Funding">'[1]Simplify using Name'!$C$15</definedName>
    <definedName name="Equity_Value">'[1]Simplify using Name'!$C$13</definedName>
    <definedName name="EquityValue">'[1]Simplification&gt;'!$C$8</definedName>
    <definedName name="Gross_Margin">'[1]Simplify using Name'!$G$10</definedName>
    <definedName name="MarketReturn">'[1]Simplification&gt;'!$C$4</definedName>
    <definedName name="Post_Tax_Cost_of_Debt">'[1]Simplify using Name'!$C$11</definedName>
    <definedName name="Riskfreerate">'[1]Simplification&gt;'!$C$3</definedName>
    <definedName name="Sales_Growth">'[1]Simplify using Name'!$G$9</definedName>
    <definedName name="Taper_rate">Sheet1!$C$22</definedName>
    <definedName name="Tax_rate">Sheet1!$C$27</definedName>
    <definedName name="TAXRate">'[1]Simplification&gt;'!$C$7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" i="1" l="1"/>
  <c r="B167" i="1" s="1"/>
  <c r="B164" i="1"/>
  <c r="B163" i="1" s="1"/>
  <c r="E162" i="1"/>
  <c r="D162" i="1" s="1"/>
  <c r="C162" i="1" s="1"/>
  <c r="H162" i="1"/>
  <c r="G162" i="1"/>
  <c r="I154" i="1"/>
  <c r="I152" i="1"/>
  <c r="I151" i="1"/>
  <c r="H123" i="1"/>
  <c r="H114" i="1"/>
  <c r="H113" i="1"/>
  <c r="H110" i="1"/>
  <c r="H111" i="1" s="1"/>
  <c r="H106" i="1"/>
  <c r="H105" i="1"/>
  <c r="H102" i="1"/>
  <c r="H103" i="1" s="1"/>
  <c r="E21" i="3"/>
  <c r="H21" i="3"/>
  <c r="F21" i="3"/>
  <c r="H20" i="3"/>
  <c r="F20" i="3"/>
  <c r="E20" i="3"/>
  <c r="H19" i="3"/>
  <c r="H18" i="3"/>
  <c r="H17" i="3"/>
  <c r="H16" i="3"/>
  <c r="H15" i="3"/>
  <c r="G19" i="3"/>
  <c r="I19" i="3" s="1"/>
  <c r="G18" i="3"/>
  <c r="I18" i="3" s="1"/>
  <c r="G17" i="3"/>
  <c r="I17" i="3" s="1"/>
  <c r="G16" i="3"/>
  <c r="I16" i="3" s="1"/>
  <c r="G15" i="3"/>
  <c r="I15" i="3" s="1"/>
  <c r="F19" i="3"/>
  <c r="F18" i="3"/>
  <c r="F17" i="3"/>
  <c r="F16" i="3"/>
  <c r="F15" i="3"/>
  <c r="E19" i="3"/>
  <c r="E18" i="3"/>
  <c r="E17" i="3"/>
  <c r="E16" i="3"/>
  <c r="E15" i="3"/>
  <c r="D19" i="3"/>
  <c r="D18" i="3"/>
  <c r="D17" i="3"/>
  <c r="D16" i="3"/>
  <c r="D15" i="3"/>
  <c r="C19" i="3"/>
  <c r="C18" i="3"/>
  <c r="C17" i="3"/>
  <c r="C16" i="3"/>
  <c r="C15" i="3"/>
  <c r="D79" i="1"/>
  <c r="C80" i="1"/>
  <c r="C82" i="1" s="1"/>
  <c r="D82" i="1" s="1"/>
  <c r="E82" i="1" s="1"/>
  <c r="F82" i="1" s="1"/>
  <c r="G82" i="1" s="1"/>
  <c r="H82" i="1" s="1"/>
  <c r="H71" i="1"/>
  <c r="G71" i="1"/>
  <c r="F71" i="1"/>
  <c r="E71" i="1"/>
  <c r="D71" i="1"/>
  <c r="C71" i="1"/>
  <c r="H68" i="1"/>
  <c r="G68" i="1"/>
  <c r="F68" i="1"/>
  <c r="E68" i="1"/>
  <c r="D68" i="1"/>
  <c r="C68" i="1"/>
  <c r="H70" i="1"/>
  <c r="G70" i="1"/>
  <c r="F70" i="1"/>
  <c r="E70" i="1"/>
  <c r="D70" i="1"/>
  <c r="C70" i="1"/>
  <c r="H69" i="1"/>
  <c r="G69" i="1"/>
  <c r="F69" i="1"/>
  <c r="E69" i="1"/>
  <c r="D69" i="1"/>
  <c r="C69" i="1"/>
  <c r="H67" i="1"/>
  <c r="G67" i="1"/>
  <c r="F67" i="1"/>
  <c r="E67" i="1"/>
  <c r="D67" i="1"/>
  <c r="H66" i="1"/>
  <c r="G66" i="1"/>
  <c r="F66" i="1"/>
  <c r="E66" i="1"/>
  <c r="D66" i="1"/>
  <c r="H107" i="1" l="1"/>
  <c r="D80" i="1"/>
  <c r="E80" i="1" s="1"/>
  <c r="F80" i="1" s="1"/>
  <c r="G80" i="1" s="1"/>
  <c r="H80" i="1" s="1"/>
  <c r="I20" i="3"/>
  <c r="I21" i="3"/>
  <c r="C81" i="1"/>
  <c r="D81" i="1" s="1"/>
  <c r="E81" i="1" s="1"/>
  <c r="F81" i="1" s="1"/>
  <c r="G81" i="1" s="1"/>
  <c r="H81" i="1" s="1"/>
  <c r="G20" i="3"/>
  <c r="G21" i="3"/>
  <c r="H115" i="1" l="1"/>
  <c r="H116" i="1" s="1"/>
  <c r="H117" i="1" s="1"/>
  <c r="H131" i="1" s="1"/>
  <c r="I131" i="1" s="1"/>
  <c r="D131" i="1"/>
  <c r="G131" i="1"/>
  <c r="F131" i="1"/>
  <c r="E131" i="1"/>
  <c r="C77" i="1" a="1"/>
  <c r="C77" i="1" s="1"/>
  <c r="C131" i="1"/>
  <c r="G77" i="1" l="1"/>
  <c r="D77" i="1"/>
  <c r="F77" i="1"/>
  <c r="H77" i="1"/>
  <c r="E77" i="1"/>
  <c r="C67" i="1" l="1"/>
  <c r="C66" i="1"/>
  <c r="H65" i="1"/>
  <c r="H72" i="1" s="1"/>
  <c r="G65" i="1"/>
  <c r="G72" i="1" s="1"/>
  <c r="F65" i="1"/>
  <c r="F72" i="1" s="1"/>
  <c r="E65" i="1"/>
  <c r="E72" i="1" s="1"/>
  <c r="D65" i="1"/>
  <c r="D72" i="1" s="1"/>
  <c r="C65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2" i="1"/>
  <c r="G52" i="1"/>
  <c r="F52" i="1"/>
  <c r="E52" i="1"/>
  <c r="D52" i="1"/>
  <c r="C52" i="1"/>
  <c r="H48" i="1"/>
  <c r="H49" i="1" s="1"/>
  <c r="G48" i="1"/>
  <c r="G49" i="1" s="1"/>
  <c r="F48" i="1"/>
  <c r="F49" i="1" s="1"/>
  <c r="E48" i="1"/>
  <c r="E49" i="1" s="1"/>
  <c r="D48" i="1"/>
  <c r="D49" i="1" s="1"/>
  <c r="C48" i="1"/>
  <c r="C49" i="1" s="1"/>
  <c r="H47" i="1"/>
  <c r="G47" i="1"/>
  <c r="F47" i="1"/>
  <c r="E47" i="1"/>
  <c r="D47" i="1"/>
  <c r="C47" i="1"/>
  <c r="H43" i="1"/>
  <c r="G43" i="1"/>
  <c r="F43" i="1"/>
  <c r="E43" i="1"/>
  <c r="D43" i="1"/>
  <c r="C43" i="1"/>
  <c r="H39" i="1"/>
  <c r="G39" i="1"/>
  <c r="F39" i="1"/>
  <c r="E39" i="1"/>
  <c r="D39" i="1"/>
  <c r="C39" i="1"/>
  <c r="H35" i="1"/>
  <c r="G35" i="1"/>
  <c r="F35" i="1"/>
  <c r="E35" i="1"/>
  <c r="D35" i="1"/>
  <c r="C35" i="1"/>
  <c r="H33" i="1"/>
  <c r="C78" i="1" s="1"/>
  <c r="G33" i="1"/>
  <c r="F33" i="1"/>
  <c r="E33" i="1"/>
  <c r="D33" i="1"/>
  <c r="C33" i="1"/>
  <c r="E1" i="2"/>
  <c r="B4" i="2"/>
  <c r="B6" i="2"/>
  <c r="C8" i="2"/>
  <c r="E37" i="1" l="1"/>
  <c r="E38" i="1" s="1"/>
  <c r="G36" i="1"/>
  <c r="C64" i="1"/>
  <c r="G64" i="1"/>
  <c r="F37" i="1"/>
  <c r="F38" i="1" s="1"/>
  <c r="D64" i="1"/>
  <c r="H64" i="1"/>
  <c r="D36" i="1"/>
  <c r="H36" i="1"/>
  <c r="F40" i="1"/>
  <c r="D44" i="1"/>
  <c r="H44" i="1"/>
  <c r="G37" i="1"/>
  <c r="G41" i="1" s="1"/>
  <c r="E36" i="1"/>
  <c r="C40" i="1"/>
  <c r="G40" i="1"/>
  <c r="D34" i="1"/>
  <c r="H40" i="1"/>
  <c r="D40" i="1"/>
  <c r="E34" i="1"/>
  <c r="F36" i="1"/>
  <c r="D37" i="1"/>
  <c r="D41" i="1" s="1"/>
  <c r="D45" i="1" s="1"/>
  <c r="D50" i="1" s="1"/>
  <c r="F44" i="1"/>
  <c r="E64" i="1"/>
  <c r="H37" i="1"/>
  <c r="H41" i="1" s="1"/>
  <c r="H42" i="1" s="1"/>
  <c r="C88" i="1" s="1"/>
  <c r="D88" i="1" s="1"/>
  <c r="E44" i="1"/>
  <c r="I34" i="1"/>
  <c r="E40" i="1"/>
  <c r="G44" i="1"/>
  <c r="F64" i="1"/>
  <c r="F34" i="1"/>
  <c r="C44" i="1"/>
  <c r="C87" i="1"/>
  <c r="D78" i="1"/>
  <c r="G34" i="1"/>
  <c r="C37" i="1"/>
  <c r="C41" i="1" s="1"/>
  <c r="C45" i="1" s="1"/>
  <c r="C72" i="1"/>
  <c r="H34" i="1"/>
  <c r="C42" i="1"/>
  <c r="H45" i="1"/>
  <c r="E41" i="1"/>
  <c r="F41" i="1" l="1"/>
  <c r="G38" i="1"/>
  <c r="G42" i="1"/>
  <c r="G45" i="1"/>
  <c r="G50" i="1" s="1"/>
  <c r="G54" i="1" s="1"/>
  <c r="G55" i="1" s="1"/>
  <c r="H38" i="1"/>
  <c r="C89" i="1"/>
  <c r="C90" i="1"/>
  <c r="C94" i="1" s="1"/>
  <c r="D42" i="1"/>
  <c r="D46" i="1"/>
  <c r="D38" i="1"/>
  <c r="C38" i="1"/>
  <c r="E78" i="1"/>
  <c r="D87" i="1"/>
  <c r="D90" i="1" s="1"/>
  <c r="E88" i="1"/>
  <c r="E42" i="1"/>
  <c r="E45" i="1"/>
  <c r="H50" i="1"/>
  <c r="H46" i="1"/>
  <c r="D54" i="1"/>
  <c r="D55" i="1" s="1"/>
  <c r="D53" i="1"/>
  <c r="D51" i="1"/>
  <c r="G51" i="1"/>
  <c r="F42" i="1"/>
  <c r="F45" i="1"/>
  <c r="C46" i="1"/>
  <c r="C50" i="1"/>
  <c r="G53" i="1" l="1"/>
  <c r="G46" i="1"/>
  <c r="D89" i="1"/>
  <c r="F78" i="1"/>
  <c r="E87" i="1"/>
  <c r="C91" i="1"/>
  <c r="C92" i="1" s="1"/>
  <c r="C93" i="1" s="1"/>
  <c r="C95" i="1" s="1"/>
  <c r="C96" i="1" s="1"/>
  <c r="C130" i="1" s="1"/>
  <c r="C132" i="1" s="1"/>
  <c r="D94" i="1"/>
  <c r="F88" i="1"/>
  <c r="E50" i="1"/>
  <c r="E46" i="1"/>
  <c r="F46" i="1"/>
  <c r="F50" i="1"/>
  <c r="H54" i="1"/>
  <c r="H55" i="1" s="1"/>
  <c r="H53" i="1"/>
  <c r="H51" i="1"/>
  <c r="C53" i="1"/>
  <c r="C51" i="1"/>
  <c r="C54" i="1"/>
  <c r="C55" i="1" s="1"/>
  <c r="E89" i="1" l="1"/>
  <c r="E90" i="1"/>
  <c r="E94" i="1" s="1"/>
  <c r="G78" i="1"/>
  <c r="F87" i="1"/>
  <c r="D91" i="1"/>
  <c r="D92" i="1" s="1"/>
  <c r="D93" i="1" s="1"/>
  <c r="D95" i="1" s="1"/>
  <c r="G88" i="1"/>
  <c r="F54" i="1"/>
  <c r="F55" i="1" s="1"/>
  <c r="F53" i="1"/>
  <c r="F51" i="1"/>
  <c r="E54" i="1"/>
  <c r="E55" i="1" s="1"/>
  <c r="E53" i="1"/>
  <c r="E51" i="1"/>
  <c r="F89" i="1" l="1"/>
  <c r="F90" i="1"/>
  <c r="F94" i="1" s="1"/>
  <c r="H78" i="1"/>
  <c r="H87" i="1" s="1"/>
  <c r="H90" i="1" s="1"/>
  <c r="G87" i="1"/>
  <c r="D96" i="1"/>
  <c r="D130" i="1" s="1"/>
  <c r="D132" i="1" s="1"/>
  <c r="E91" i="1"/>
  <c r="E92" i="1" s="1"/>
  <c r="E93" i="1" s="1"/>
  <c r="E95" i="1" s="1"/>
  <c r="E96" i="1" s="1"/>
  <c r="E130" i="1" s="1"/>
  <c r="E132" i="1" s="1"/>
  <c r="H88" i="1"/>
  <c r="H89" i="1" s="1"/>
  <c r="G89" i="1" l="1"/>
  <c r="G90" i="1"/>
  <c r="G94" i="1" s="1"/>
  <c r="F91" i="1"/>
  <c r="F92" i="1" s="1"/>
  <c r="F93" i="1" s="1"/>
  <c r="F95" i="1" s="1"/>
  <c r="F96" i="1" s="1"/>
  <c r="F130" i="1" s="1"/>
  <c r="F132" i="1" s="1"/>
  <c r="H94" i="1"/>
  <c r="G91" i="1" l="1"/>
  <c r="G92" i="1" s="1"/>
  <c r="G93" i="1" s="1"/>
  <c r="G95" i="1" s="1"/>
  <c r="G96" i="1" s="1"/>
  <c r="G130" i="1" s="1"/>
  <c r="G132" i="1" s="1"/>
  <c r="H91" i="1"/>
  <c r="H92" i="1" s="1"/>
  <c r="H93" i="1" s="1"/>
  <c r="H95" i="1" s="1"/>
  <c r="H96" i="1" s="1"/>
  <c r="H122" i="1" l="1"/>
  <c r="H130" i="1"/>
  <c r="H132" i="1" s="1"/>
  <c r="B138" i="1" s="1"/>
  <c r="H125" i="1" l="1"/>
  <c r="I130" i="1" s="1"/>
  <c r="I132" i="1" s="1"/>
  <c r="B143" i="1" s="1"/>
  <c r="B148" i="1" s="1"/>
  <c r="I150" i="1" s="1"/>
  <c r="I153" i="1" s="1"/>
  <c r="I155" i="1" s="1"/>
  <c r="I157" i="1" l="1"/>
  <c r="B162" i="1"/>
</calcChain>
</file>

<file path=xl/sharedStrings.xml><?xml version="1.0" encoding="utf-8"?>
<sst xmlns="http://schemas.openxmlformats.org/spreadsheetml/2006/main" count="259" uniqueCount="199">
  <si>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</si>
  <si>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</si>
  <si>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</si>
  <si>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</si>
  <si>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</si>
  <si>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</si>
  <si>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</si>
  <si>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</si>
  <si>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</si>
  <si>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</si>
  <si>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</si>
  <si>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</si>
  <si>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</si>
  <si>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</si>
  <si>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</si>
  <si>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</si>
  <si>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</si>
  <si>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</si>
  <si>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</si>
  <si>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</si>
  <si>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</si>
  <si>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</si>
  <si>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</si>
  <si>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</si>
  <si>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</si>
  <si>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EBITDA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</si>
  <si>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</si>
  <si>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</si>
  <si>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</si>
  <si>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</si>
  <si>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</si>
  <si>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</si>
  <si>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</si>
  <si>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</si>
  <si>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</si>
  <si>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</si>
  <si>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</si>
  <si>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</si>
  <si>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</si>
  <si>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</si>
  <si>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</si>
  <si>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</si>
  <si>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</si>
  <si>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</si>
  <si>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</si>
  <si>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</si>
  <si>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</si>
  <si>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</si>
  <si>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</si>
  <si>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</si>
  <si>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</si>
  <si>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</si>
  <si>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</si>
  <si>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RELIANCE INDUSTRIES LTD</t>
  </si>
  <si>
    <t>COMPANY NAME</t>
  </si>
  <si>
    <t>Discounted Cashflow Model</t>
  </si>
  <si>
    <t>Financial Modelling Course</t>
  </si>
  <si>
    <t>Company Overview</t>
  </si>
  <si>
    <t>Reliance Industries Limited is a Fortune 500 Indian multinational conglomerate headquartered in Mumbai, Maharashtra, and led by chairman Mukesh Ambani</t>
  </si>
  <si>
    <r>
      <t>New Energy:</t>
    </r>
    <r>
      <rPr>
        <sz val="10"/>
        <color theme="1"/>
        <rFont val="Arial"/>
        <family val="2"/>
      </rPr>
      <t xml:space="preserve"> Focuses on green energy infrastructure, manufacturing ecosystems, and sustainable technologies.</t>
    </r>
  </si>
  <si>
    <r>
      <t>Retail (Reliance Retail):</t>
    </r>
    <r>
      <rPr>
        <sz val="10"/>
        <color theme="1"/>
        <rFont val="Arial"/>
        <family val="2"/>
      </rPr>
      <t xml:space="preserve"> Operates as India's largest retailer across grocery, consumer electronics, and fashion.</t>
    </r>
  </si>
  <si>
    <r>
      <t>Digital Services (Jio):</t>
    </r>
    <r>
      <rPr>
        <sz val="10"/>
        <color theme="1"/>
        <rFont val="Arial"/>
        <family val="2"/>
      </rPr>
      <t xml:space="preserve"> Provides widespread telecom, 5G, and digital services that transformed India's connectivity landscape.</t>
    </r>
  </si>
  <si>
    <r>
      <t>Oil-to-Chemicals (O2C):</t>
    </r>
    <r>
      <rPr>
        <sz val="10"/>
        <color theme="1"/>
        <rFont val="Arial"/>
        <family val="2"/>
      </rPr>
      <t xml:space="preserve"> Includes hydrocarbon exploration, petroleum refining (such as the massive Jamnagar refinery complex), and petrochemical production.</t>
    </r>
  </si>
  <si>
    <t>As of the 2026 financial year-end, Reliance Industries reports a total employee headcount of 4,19,911 people at the group level.</t>
  </si>
  <si>
    <t>Key Assumption And Methodology</t>
  </si>
  <si>
    <t>Parameter</t>
  </si>
  <si>
    <t xml:space="preserve">Valuation Date </t>
  </si>
  <si>
    <t>Projection Period</t>
  </si>
  <si>
    <t>Annual Growth Tapering</t>
  </si>
  <si>
    <t>Terminal Growth Rate</t>
  </si>
  <si>
    <t>Risk Free Rate (RF)</t>
  </si>
  <si>
    <t>EquityRisk Premium (ERP)</t>
  </si>
  <si>
    <t>Tax Rate</t>
  </si>
  <si>
    <t>Income Statement</t>
  </si>
  <si>
    <t>Particulars</t>
  </si>
  <si>
    <t>CAGR</t>
  </si>
  <si>
    <t>COGS</t>
  </si>
  <si>
    <t>Gross Profit</t>
  </si>
  <si>
    <t>% Margin</t>
  </si>
  <si>
    <t>% Of growth</t>
  </si>
  <si>
    <t>% of Revenue</t>
  </si>
  <si>
    <t>Operating Expenses</t>
  </si>
  <si>
    <t>% Revenue</t>
  </si>
  <si>
    <t>% Of Sales</t>
  </si>
  <si>
    <t>EBIT</t>
  </si>
  <si>
    <t>% debt</t>
  </si>
  <si>
    <t>Profit Before Tax</t>
  </si>
  <si>
    <t>% of PBT</t>
  </si>
  <si>
    <t>Net Profit</t>
  </si>
  <si>
    <t>% of revenue</t>
  </si>
  <si>
    <t>Balance Sheet</t>
  </si>
  <si>
    <t>Equity Share Captal</t>
  </si>
  <si>
    <t>Revenue Projections And Growth Assumptions</t>
  </si>
  <si>
    <t>Year</t>
  </si>
  <si>
    <t>FY 2027</t>
  </si>
  <si>
    <t>FY 2028</t>
  </si>
  <si>
    <t>FY 2029</t>
  </si>
  <si>
    <t>FY 2030</t>
  </si>
  <si>
    <t>Revenue Growth%</t>
  </si>
  <si>
    <t>Revenue in (Crs)</t>
  </si>
  <si>
    <t>Chosen Scenarios</t>
  </si>
  <si>
    <t>Base Case</t>
  </si>
  <si>
    <t xml:space="preserve">Best Case </t>
  </si>
  <si>
    <t>Worst Case</t>
  </si>
  <si>
    <t>FY 2031</t>
  </si>
  <si>
    <t>Free Cash flow Projection (Rs Crs)</t>
  </si>
  <si>
    <t>Revenue</t>
  </si>
  <si>
    <t>EBITDA Margin%</t>
  </si>
  <si>
    <t>Less Depreciation</t>
  </si>
  <si>
    <t>Less Tax</t>
  </si>
  <si>
    <t>NOPAT</t>
  </si>
  <si>
    <t>Add: Depreciation</t>
  </si>
  <si>
    <t>Less: Reinvestment</t>
  </si>
  <si>
    <t>Free Cash flow to firm</t>
  </si>
  <si>
    <t xml:space="preserve"> WACC Calculation</t>
  </si>
  <si>
    <t>Target Capital Structure</t>
  </si>
  <si>
    <t>Proportion Of Debt</t>
  </si>
  <si>
    <t>Proportion Of Equity</t>
  </si>
  <si>
    <t>Current Capital Structure</t>
  </si>
  <si>
    <t>Market Cap</t>
  </si>
  <si>
    <t>Tota Debt</t>
  </si>
  <si>
    <t>Debt/Equity</t>
  </si>
  <si>
    <t>Cost Of Debt</t>
  </si>
  <si>
    <t>Pre-tax cost of debt</t>
  </si>
  <si>
    <t>tax Rate</t>
  </si>
  <si>
    <t>After Tax Cost of Debt</t>
  </si>
  <si>
    <t>Cost Of Equity</t>
  </si>
  <si>
    <t>Risk Free Rate</t>
  </si>
  <si>
    <t>Equity Risk Premium</t>
  </si>
  <si>
    <t>Levered Equity Beta</t>
  </si>
  <si>
    <t>WACC</t>
  </si>
  <si>
    <t>Comps Data</t>
  </si>
  <si>
    <t>Name</t>
  </si>
  <si>
    <t>CMP Rs.</t>
  </si>
  <si>
    <t>Mar Cap Rs.Cr.</t>
  </si>
  <si>
    <t>Debt Rs.Cr.</t>
  </si>
  <si>
    <t>Debt / Eq</t>
  </si>
  <si>
    <t>Sales Rs.Cr.</t>
  </si>
  <si>
    <t>Beta</t>
  </si>
  <si>
    <t>Cash and Equivalent</t>
  </si>
  <si>
    <t>Reliance Industries</t>
  </si>
  <si>
    <t>Bharti Airtel</t>
  </si>
  <si>
    <t>Indian Oil Corp (IOCL)</t>
  </si>
  <si>
    <t>Bharat Petroleum (BPCL)</t>
  </si>
  <si>
    <t>Tata Trent</t>
  </si>
  <si>
    <t>Industry Beta</t>
  </si>
  <si>
    <t>Equit Value</t>
  </si>
  <si>
    <t>Total Debt</t>
  </si>
  <si>
    <t>Debt /Capital</t>
  </si>
  <si>
    <t>Tax Rate %</t>
  </si>
  <si>
    <t>Levered Beta</t>
  </si>
  <si>
    <t>Unlivered Beta</t>
  </si>
  <si>
    <t>Average</t>
  </si>
  <si>
    <t>Median</t>
  </si>
  <si>
    <t>Terminal Value</t>
  </si>
  <si>
    <t>Terminal Value = FCF*(1+G) / (WACC-G)</t>
  </si>
  <si>
    <t>Present Value Calculation</t>
  </si>
  <si>
    <t>Years</t>
  </si>
  <si>
    <t>FCF (Rs Crs)</t>
  </si>
  <si>
    <t>Discount Factor</t>
  </si>
  <si>
    <t>PV of FCF (Rs Crs)</t>
  </si>
  <si>
    <t>FY 2032</t>
  </si>
  <si>
    <t>Terminal Year FCF (Fy32)</t>
  </si>
  <si>
    <t>DCF Valuation Summary</t>
  </si>
  <si>
    <t>Sum Of PV of FCF (FY 26-30)</t>
  </si>
  <si>
    <t>Present value of Terminal Value</t>
  </si>
  <si>
    <t>Enterprise Value</t>
  </si>
  <si>
    <t>Less: Net Debt</t>
  </si>
  <si>
    <t>Add: Cash And Investments</t>
  </si>
  <si>
    <t>Equity Value</t>
  </si>
  <si>
    <t>Share Outstanding</t>
  </si>
  <si>
    <t>Fair Value Per Share</t>
  </si>
  <si>
    <t>Current Market price</t>
  </si>
  <si>
    <t>Upside/Downside</t>
  </si>
  <si>
    <t>Sensitivity Analysis</t>
  </si>
  <si>
    <t>Terminal Growth/ WACC</t>
  </si>
  <si>
    <t>Key Risk and Considerations</t>
  </si>
  <si>
    <t>Upside Risk:</t>
  </si>
  <si>
    <t>Downside Risk:</t>
  </si>
  <si>
    <r>
      <rPr>
        <b/>
        <sz val="14"/>
        <color theme="1"/>
        <rFont val="Arial"/>
        <family val="2"/>
      </rPr>
      <t>O2C &amp; Refining Margin Volatility:</t>
    </r>
    <r>
      <rPr>
        <sz val="14"/>
        <color theme="1"/>
        <rFont val="Arial"/>
        <family val="2"/>
      </rPr>
      <t xml:space="preserve"> Cracking margins in the Oil-to-Chemicals (O2C) division are subject to global macroeconomic cycles and crude price fluctuations, posing risks to core cash flows.</t>
    </r>
  </si>
  <si>
    <r>
      <rPr>
        <b/>
        <sz val="14"/>
        <color theme="1"/>
        <rFont val="Arial"/>
        <family val="2"/>
      </rPr>
      <t>Capital Expenditure Overruns:</t>
    </r>
    <r>
      <rPr>
        <sz val="14"/>
        <color theme="1"/>
        <rFont val="Arial"/>
        <family val="2"/>
      </rPr>
      <t xml:space="preserve"> High capital intensity across 5G network expansion and New Energy giga-factories could depress Free Cash Flow (FCF) conversion if gestation periods drag out.</t>
    </r>
  </si>
  <si>
    <r>
      <rPr>
        <b/>
        <sz val="14"/>
        <color theme="1"/>
        <rFont val="Arial"/>
        <family val="2"/>
      </rPr>
      <t>High Terminal Value Sensitivity:</t>
    </r>
    <r>
      <rPr>
        <sz val="14"/>
        <color theme="1"/>
        <rFont val="Arial"/>
        <family val="2"/>
      </rPr>
      <t xml:space="preserve"> Over 79% of the calculated Enterprise Value relies on the Terminal Value ($g = 6.0\%$); a lower perpetual growth rate or higher WACC significantly compresses fair value.</t>
    </r>
  </si>
  <si>
    <r>
      <rPr>
        <b/>
        <sz val="14"/>
        <color theme="1"/>
        <rFont val="Arial"/>
        <family val="2"/>
      </rPr>
      <t>Intensifying Digital &amp; Retail Competition:</t>
    </r>
    <r>
      <rPr>
        <sz val="14"/>
        <color theme="1"/>
        <rFont val="Arial"/>
        <family val="2"/>
      </rPr>
      <t xml:space="preserve"> Aggressive price competition from incumbent telecom peers or quick-commerce and e-commerce giants could pressure operating margins.</t>
    </r>
  </si>
  <si>
    <r>
      <rPr>
        <b/>
        <sz val="14"/>
        <color theme="1"/>
        <rFont val="Arial"/>
        <family val="2"/>
      </rPr>
      <t>Debt &amp; Interest Burden:</t>
    </r>
    <r>
      <rPr>
        <sz val="14"/>
        <color theme="1"/>
        <rFont val="Arial"/>
        <family val="2"/>
      </rPr>
      <t xml:space="preserve"> Rising interest rates or higher debt levels needed to fund continuous Capex could elevate financing costs and erode net profit margins.</t>
    </r>
  </si>
  <si>
    <r>
      <rPr>
        <b/>
        <sz val="14"/>
        <color theme="1"/>
        <rFont val="Arial"/>
        <family val="2"/>
      </rPr>
      <t>Telecom Tariff Hikes &amp; 5G Monetization:</t>
    </r>
    <r>
      <rPr>
        <sz val="14"/>
        <color theme="1"/>
        <rFont val="Arial"/>
        <family val="2"/>
      </rPr>
      <t xml:space="preserve"> Accelerated ARPU growth in Digital Services (Jio) beyond modeled revenue assumptions could drive higher cash flow generation.</t>
    </r>
  </si>
  <si>
    <r>
      <rPr>
        <b/>
        <sz val="14"/>
        <color theme="1"/>
        <rFont val="Arial"/>
        <family val="2"/>
      </rPr>
      <t>Faster Retail Margin Expansion:</t>
    </r>
    <r>
      <rPr>
        <sz val="14"/>
        <color theme="1"/>
        <rFont val="Arial"/>
        <family val="2"/>
      </rPr>
      <t xml:space="preserve"> Increasing share of high-margin private labels and rapid store network expansion could boost EBITDA margins above the static 15.02% assumed in the model.</t>
    </r>
  </si>
  <si>
    <r>
      <rPr>
        <b/>
        <sz val="14"/>
        <color theme="1"/>
        <rFont val="Arial"/>
        <family val="2"/>
      </rPr>
      <t>New Energy Commercialization</t>
    </r>
    <r>
      <rPr>
        <sz val="14"/>
        <color theme="1"/>
        <rFont val="Arial"/>
        <family val="2"/>
      </rPr>
      <t>: Early monetization and execution of green energy initiatives (solar, battery storage, hydrogen) could unlock new high-growth revenue streams.</t>
    </r>
  </si>
  <si>
    <r>
      <rPr>
        <b/>
        <sz val="14"/>
        <color theme="1"/>
        <rFont val="Arial"/>
        <family val="2"/>
      </rPr>
      <t>Value Unlocking via Subsidiary Listings</t>
    </r>
    <r>
      <rPr>
        <sz val="14"/>
        <color theme="1"/>
        <rFont val="Arial"/>
        <family val="2"/>
      </rPr>
      <t>: Potential IPOs or strategic monetization of Jio Platforms and Reliance Retail could re-rate corporate valuation and unlock significant equity value.</t>
    </r>
  </si>
  <si>
    <t>Conclusion and Recommendation</t>
  </si>
  <si>
    <r>
      <t xml:space="preserve">Based on our DCF analysis, </t>
    </r>
    <r>
      <rPr>
        <b/>
        <sz val="11"/>
        <color theme="1"/>
        <rFont val="Arial"/>
        <family val="2"/>
      </rPr>
      <t>Reliance Industries Ltd</t>
    </r>
    <r>
      <rPr>
        <sz val="11"/>
        <color theme="1"/>
        <rFont val="Arial"/>
        <family val="2"/>
      </rPr>
      <t xml:space="preserve"> intrinsic value is estimated at </t>
    </r>
    <r>
      <rPr>
        <b/>
        <sz val="11"/>
        <color theme="1"/>
        <rFont val="Arial"/>
        <family val="2"/>
      </rPr>
      <t>₹1,688 per share</t>
    </r>
    <r>
      <rPr>
        <sz val="11"/>
        <color theme="1"/>
        <rFont val="Arial"/>
        <family val="2"/>
      </rPr>
      <t xml:space="preserve"> compared to the current market price of </t>
    </r>
    <r>
      <rPr>
        <b/>
        <sz val="11"/>
        <color theme="1"/>
        <rFont val="Arial"/>
        <family val="2"/>
      </rPr>
      <t>₹1,226</t>
    </r>
    <r>
      <rPr>
        <sz val="11"/>
        <color theme="1"/>
        <rFont val="Arial"/>
        <family val="2"/>
      </rPr>
      <t xml:space="preserve">, representing an </t>
    </r>
    <r>
      <rPr>
        <b/>
        <sz val="11"/>
        <color theme="1"/>
        <rFont val="Arial"/>
        <family val="2"/>
      </rPr>
      <t>upside potential of ~37.7%</t>
    </r>
    <r>
      <rPr>
        <sz val="11"/>
        <color theme="1"/>
        <rFont val="Arial"/>
        <family val="2"/>
      </rPr>
      <t>.</t>
    </r>
  </si>
  <si>
    <t>Key Findings</t>
  </si>
  <si>
    <r>
      <t>Steady Scale-Up:</t>
    </r>
    <r>
      <rPr>
        <sz val="11"/>
        <color theme="1"/>
        <rFont val="Arial"/>
        <family val="2"/>
      </rPr>
      <t xml:space="preserve"> The company demonstrated steady revenue growth with a </t>
    </r>
    <r>
      <rPr>
        <b/>
        <sz val="11"/>
        <color theme="1"/>
        <rFont val="Arial"/>
        <family val="2"/>
      </rPr>
      <t>CAGR of ~17.8%</t>
    </r>
    <r>
      <rPr>
        <sz val="11"/>
        <color theme="1"/>
        <rFont val="Arial"/>
        <family val="2"/>
      </rPr>
      <t xml:space="preserve"> over FY21–26.</t>
    </r>
  </si>
  <si>
    <r>
      <t>Margin Expansion:</t>
    </r>
    <r>
      <rPr>
        <sz val="11"/>
        <color theme="1"/>
        <rFont val="Arial"/>
        <family val="2"/>
      </rPr>
      <t xml:space="preserve"> Consolidated EBITDA margins expanded from </t>
    </r>
    <r>
      <rPr>
        <b/>
        <sz val="11"/>
        <color theme="1"/>
        <rFont val="Arial"/>
        <family val="2"/>
      </rPr>
      <t>13.4% in FY21 to 15.0% in FY26</t>
    </r>
    <r>
      <rPr>
        <sz val="11"/>
        <color theme="1"/>
        <rFont val="Arial"/>
        <family val="2"/>
      </rPr>
      <t>, supported by digital services and retail growth.</t>
    </r>
  </si>
  <si>
    <r>
      <t>Valuation Buffer:</t>
    </r>
    <r>
      <rPr>
        <sz val="11"/>
        <color theme="1"/>
        <rFont val="Arial"/>
        <family val="2"/>
      </rPr>
      <t xml:space="preserve"> At current market levels, the stock trades at a reasonable discount to its DCF-derived intrinsic value, offering a favorable margin of safety.</t>
    </r>
  </si>
  <si>
    <t>Investment Recommendation: ACCUMULATE / BUY</t>
  </si>
  <si>
    <t>While Reliance Industries is a diversified conglomerate benefiting from domestic consumption and digital transformation, macro cyclicality in O2C and capital-intensive green energy projects remain key swing factors.</t>
  </si>
  <si>
    <r>
      <t>Existing Shareholders</t>
    </r>
    <r>
      <rPr>
        <sz val="11"/>
        <color theme="1"/>
        <rFont val="Arial"/>
        <family val="2"/>
      </rPr>
      <t xml:space="preserve"> may hold or add on dips, trailing upside targets toward the ₹1,650–₹1,700 fair value range.</t>
    </r>
  </si>
  <si>
    <r>
      <t>New Investors</t>
    </r>
    <r>
      <rPr>
        <sz val="11"/>
        <color theme="1"/>
        <rFont val="Arial"/>
        <family val="2"/>
      </rPr>
      <t xml:space="preserve"> can build positions systematically, capitalizing on market consolidations.</t>
    </r>
  </si>
  <si>
    <r>
      <t>Long-Term Catalysts</t>
    </r>
    <r>
      <rPr>
        <sz val="11"/>
        <color theme="1"/>
        <rFont val="Arial"/>
        <family val="2"/>
      </rPr>
      <t xml:space="preserve"> such as potential subsidiary listings (Jio / Retail) or commercialization of New Energy assets could drive further re-rating.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</si>
</sst>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%"/>
    <numFmt numFmtId="167" formatCode="0.0"/>
    <numFmt numFmtId="168" formatCode="\:"/>
    <numFmt numFmtId="169" formatCode="#,##0.0"/>
    <numFmt numFmtId="170" formatCode=";;;"/>
  </numFmts>
  <fonts count="3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Calibri"/>
      <family val="2"/>
    </font>
    <font>
      <sz val="28"/>
      <color theme="4" tint="-0.249977111117893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24"/>
      <color theme="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8"/>
      <name val="Calibri"/>
      <family val="2"/>
    </font>
    <font>
      <sz val="14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8"/>
      <color theme="1"/>
      <name val="Arial"/>
      <family val="2"/>
    </font>
    <font>
      <sz val="11"/>
      <color theme="4" tint="-0.499984740745262"/>
      <name val="Aptos Narrow"/>
      <family val="2"/>
      <scheme val="minor"/>
    </font>
    <font>
      <sz val="11"/>
      <color theme="4" tint="-0.499984740745262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0" fillId="2" borderId="0" applyNumberFormat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43" fontId="0" fillId="0" borderId="0" xfId="2" applyFont="1" applyBorder="1"/>
    <xf numFmtId="164" fontId="0" fillId="0" borderId="0" xfId="2" applyNumberFormat="1" applyFont="1" applyBorder="1"/>
    <xf numFmtId="43" fontId="7" fillId="0" borderId="0" xfId="2" applyFont="1" applyBorder="1"/>
    <xf numFmtId="0" fontId="6" fillId="0" borderId="0" xfId="3"/>
    <xf numFmtId="43" fontId="6" fillId="0" borderId="0" xfId="2" applyFont="1" applyBorder="1"/>
    <xf numFmtId="165" fontId="8" fillId="0" borderId="0" xfId="2" applyNumberFormat="1" applyFont="1" applyFill="1" applyBorder="1"/>
    <xf numFmtId="165" fontId="9" fillId="3" borderId="0" xfId="3" applyNumberFormat="1" applyFont="1" applyFill="1" applyAlignment="1">
      <alignment horizontal="center"/>
    </xf>
    <xf numFmtId="165" fontId="9" fillId="3" borderId="0" xfId="2" applyNumberFormat="1" applyFont="1" applyFill="1" applyBorder="1"/>
    <xf numFmtId="0" fontId="7" fillId="0" borderId="0" xfId="3" applyFont="1"/>
    <xf numFmtId="0" fontId="14" fillId="5" borderId="0" xfId="0" applyFont="1" applyFill="1"/>
    <xf numFmtId="0" fontId="10" fillId="7" borderId="0" xfId="0" applyFont="1" applyFill="1"/>
    <xf numFmtId="9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10" fillId="5" borderId="0" xfId="0" applyFont="1" applyFill="1"/>
    <xf numFmtId="165" fontId="9" fillId="5" borderId="0" xfId="0" applyNumberFormat="1" applyFont="1" applyFill="1" applyAlignment="1">
      <alignment horizontal="center"/>
    </xf>
    <xf numFmtId="10" fontId="0" fillId="0" borderId="0" xfId="1" applyNumberFormat="1" applyFont="1"/>
    <xf numFmtId="0" fontId="21" fillId="0" borderId="0" xfId="0" applyFont="1"/>
    <xf numFmtId="0" fontId="0" fillId="8" borderId="0" xfId="0" applyFill="1"/>
    <xf numFmtId="4" fontId="0" fillId="0" borderId="0" xfId="0" applyNumberFormat="1"/>
    <xf numFmtId="167" fontId="0" fillId="0" borderId="0" xfId="0" applyNumberFormat="1"/>
    <xf numFmtId="0" fontId="0" fillId="9" borderId="0" xfId="0" applyFill="1"/>
    <xf numFmtId="167" fontId="0" fillId="9" borderId="0" xfId="0" applyNumberFormat="1" applyFill="1"/>
    <xf numFmtId="10" fontId="0" fillId="9" borderId="0" xfId="1" applyNumberFormat="1" applyFont="1" applyFill="1"/>
    <xf numFmtId="0" fontId="5" fillId="5" borderId="0" xfId="0" applyFont="1" applyFill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0" fontId="0" fillId="7" borderId="0" xfId="0" applyFill="1"/>
    <xf numFmtId="10" fontId="16" fillId="4" borderId="0" xfId="0" applyNumberFormat="1" applyFont="1" applyFill="1"/>
    <xf numFmtId="0" fontId="10" fillId="7" borderId="0" xfId="0" applyFont="1" applyFill="1" applyAlignment="1">
      <alignment horizontal="center"/>
    </xf>
    <xf numFmtId="0" fontId="25" fillId="11" borderId="0" xfId="0" applyFont="1" applyFill="1"/>
    <xf numFmtId="0" fontId="1" fillId="0" borderId="0" xfId="5" applyFont="1" applyAlignment="1" applyProtection="1"/>
    <xf numFmtId="3" fontId="0" fillId="0" borderId="0" xfId="0" applyNumberFormat="1"/>
    <xf numFmtId="0" fontId="26" fillId="0" borderId="0" xfId="0" applyFont="1"/>
    <xf numFmtId="2" fontId="0" fillId="0" borderId="0" xfId="1" applyNumberFormat="1" applyFont="1"/>
    <xf numFmtId="0" fontId="5" fillId="5" borderId="0" xfId="0" applyFont="1" applyFill="1" applyAlignment="1">
      <alignment horizontal="center"/>
    </xf>
    <xf numFmtId="10" fontId="5" fillId="5" borderId="0" xfId="0" applyNumberFormat="1" applyFont="1" applyFill="1"/>
    <xf numFmtId="2" fontId="5" fillId="5" borderId="0" xfId="1" applyNumberFormat="1" applyFont="1" applyFill="1"/>
    <xf numFmtId="0" fontId="27" fillId="4" borderId="0" xfId="0" applyFont="1" applyFill="1"/>
    <xf numFmtId="0" fontId="28" fillId="0" borderId="0" xfId="0" applyFont="1"/>
    <xf numFmtId="10" fontId="30" fillId="6" borderId="0" xfId="0" applyNumberFormat="1" applyFont="1" applyFill="1"/>
    <xf numFmtId="0" fontId="2" fillId="7" borderId="0" xfId="0" applyFont="1" applyFill="1"/>
    <xf numFmtId="167" fontId="2" fillId="7" borderId="0" xfId="0" applyNumberFormat="1" applyFont="1" applyFill="1"/>
    <xf numFmtId="0" fontId="4" fillId="10" borderId="0" xfId="0" applyFont="1" applyFill="1"/>
    <xf numFmtId="10" fontId="4" fillId="0" borderId="0" xfId="1" applyNumberFormat="1" applyFont="1"/>
    <xf numFmtId="0" fontId="31" fillId="13" borderId="0" xfId="0" applyFont="1" applyFill="1"/>
    <xf numFmtId="0" fontId="0" fillId="13" borderId="0" xfId="0" applyFill="1"/>
    <xf numFmtId="169" fontId="0" fillId="13" borderId="0" xfId="0" applyNumberFormat="1" applyFill="1"/>
    <xf numFmtId="2" fontId="0" fillId="13" borderId="0" xfId="0" applyNumberFormat="1" applyFill="1"/>
    <xf numFmtId="166" fontId="3" fillId="0" borderId="0" xfId="1" applyNumberFormat="1" applyFont="1"/>
    <xf numFmtId="167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67" fontId="15" fillId="12" borderId="0" xfId="0" applyNumberFormat="1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20" fillId="6" borderId="0" xfId="0" applyFont="1" applyFill="1"/>
    <xf numFmtId="0" fontId="15" fillId="0" borderId="0" xfId="0" applyFont="1" applyAlignment="1">
      <alignment horizontal="center"/>
    </xf>
    <xf numFmtId="0" fontId="0" fillId="0" borderId="0" xfId="0"/>
    <xf numFmtId="0" fontId="23" fillId="6" borderId="0" xfId="0" applyFont="1" applyFill="1"/>
    <xf numFmtId="0" fontId="10" fillId="7" borderId="0" xfId="0" applyFont="1" applyFill="1"/>
    <xf numFmtId="0" fontId="20" fillId="6" borderId="0" xfId="0" applyFont="1" applyFill="1" applyAlignment="1">
      <alignment horizontal="left"/>
    </xf>
    <xf numFmtId="0" fontId="13" fillId="0" borderId="0" xfId="0" applyFont="1"/>
    <xf numFmtId="0" fontId="15" fillId="0" borderId="0" xfId="0" applyFont="1"/>
    <xf numFmtId="0" fontId="18" fillId="0" borderId="0" xfId="0" applyFont="1" applyAlignment="1">
      <alignment vertical="center"/>
    </xf>
    <xf numFmtId="0" fontId="19" fillId="0" borderId="0" xfId="5" applyFont="1" applyAlignment="1" applyProtection="1"/>
    <xf numFmtId="43" fontId="11" fillId="0" borderId="0" xfId="5" applyNumberFormat="1" applyBorder="1" applyAlignment="1" applyProtection="1">
      <alignment horizontal="center"/>
    </xf>
    <xf numFmtId="43" fontId="9" fillId="2" borderId="0" xfId="4" applyNumberFormat="1" applyFont="1" applyBorder="1" applyAlignment="1">
      <alignment horizontal="center"/>
    </xf>
    <xf numFmtId="0" fontId="24" fillId="6" borderId="0" xfId="0" applyFont="1" applyFill="1"/>
    <xf numFmtId="170" fontId="32" fillId="14" borderId="0" xfId="0" applyNumberFormat="1" applyFont="1" applyFill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0" fontId="10" fillId="5" borderId="0" xfId="0" applyNumberFormat="1" applyFont="1" applyFill="1"/>
    <xf numFmtId="0" fontId="34" fillId="0" borderId="0" xfId="0" applyFont="1" applyAlignment="1">
      <alignment vertical="center"/>
    </xf>
    <xf numFmtId="0" fontId="36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 indent="1"/>
    </xf>
    <xf numFmtId="0" fontId="38" fillId="0" borderId="0" xfId="0" applyFont="1" applyAlignment="1">
      <alignment horizontal="left" vertical="center" indent="1"/>
    </xf>
    <xf numFmtId="0" fontId="37" fillId="15" borderId="0" xfId="0" applyFont="1" applyFill="1" applyAlignment="1">
      <alignment vertical="center"/>
    </xf>
    <xf numFmtId="0" fontId="37" fillId="16" borderId="0" xfId="0" applyFont="1" applyFill="1" applyAlignment="1">
      <alignment vertical="center"/>
    </xf>
    <xf numFmtId="0" fontId="35" fillId="0" borderId="0" xfId="0" applyFont="1"/>
    <xf numFmtId="0" fontId="35" fillId="0" borderId="0" xfId="0" applyFont="1" applyAlignment="1">
      <alignment vertical="center"/>
    </xf>
    <xf numFmtId="0" fontId="35" fillId="0" borderId="0" xfId="0" applyFont="1" applyAlignment="1">
      <alignment horizontal="left" vertical="center" indent="1"/>
    </xf>
    <xf numFmtId="0" fontId="12" fillId="4" borderId="0" xfId="0" applyFont="1" applyFill="1" applyBorder="1"/>
    <xf numFmtId="0" fontId="0" fillId="5" borderId="0" xfId="0" applyFill="1" applyAlignment="1">
      <alignment horizontal="center"/>
    </xf>
    <xf numFmtId="0" fontId="0" fillId="4" borderId="0" xfId="0" applyFill="1"/>
    <xf numFmtId="0" fontId="14" fillId="4" borderId="0" xfId="0" applyFont="1" applyFill="1"/>
    <xf numFmtId="15" fontId="4" fillId="0" borderId="0" xfId="0" applyNumberFormat="1" applyFont="1"/>
  </cellXfs>
  <cellStyles count="6">
    <cellStyle name="Accent6 2" xfId="4" xr:uid="{24DB5726-0D30-472B-97F0-6D66083E36F1}"/>
    <cellStyle name="Comma 2" xfId="2" xr:uid="{751CC238-A4F8-4B30-8FDB-F70BBB5A03CF}"/>
    <cellStyle name="Hyperlink" xfId="5" builtinId="8"/>
    <cellStyle name="Normal" xfId="0" builtinId="0"/>
    <cellStyle name="Normal 2" xfId="3" xr:uid="{AD330DCB-5AB3-4FC5-B96E-A2C46228FAEB}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uber\Desktop\Financial%20Modeling%20(Beginni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ta Steels"/>
      <sheetName val="Function 1"/>
      <sheetName val="Simplification&gt;"/>
      <sheetName val="Simplify using Name"/>
      <sheetName val="Using Vlook Up"/>
      <sheetName val="Advanced Simplifivation &gt;&gt;&gt;"/>
      <sheetName val="Goal Seek"/>
      <sheetName val="Sheet1"/>
    </sheetNames>
    <sheetDataSet>
      <sheetData sheetId="0" refreshError="1"/>
      <sheetData sheetId="1" refreshError="1"/>
      <sheetData sheetId="2" refreshError="1">
        <row r="3">
          <cell r="C3">
            <v>0.04</v>
          </cell>
        </row>
        <row r="4">
          <cell r="C4">
            <v>0.1</v>
          </cell>
        </row>
        <row r="5">
          <cell r="C5">
            <v>1.25</v>
          </cell>
        </row>
        <row r="6">
          <cell r="C6">
            <v>0.14000000000000001</v>
          </cell>
        </row>
        <row r="7">
          <cell r="C7">
            <v>0.3</v>
          </cell>
        </row>
        <row r="8">
          <cell r="C8">
            <v>125000</v>
          </cell>
        </row>
        <row r="9">
          <cell r="C9">
            <v>125000</v>
          </cell>
        </row>
      </sheetData>
      <sheetData sheetId="3" refreshError="1">
        <row r="7">
          <cell r="C7">
            <v>0.11500000000000002</v>
          </cell>
        </row>
        <row r="8">
          <cell r="G8">
            <v>14500</v>
          </cell>
        </row>
        <row r="9">
          <cell r="C9">
            <v>0.14000000000000001</v>
          </cell>
          <cell r="G9">
            <v>0.1</v>
          </cell>
        </row>
        <row r="10">
          <cell r="G10">
            <v>0.6</v>
          </cell>
        </row>
        <row r="11">
          <cell r="C11">
            <v>9.8000000000000004E-2</v>
          </cell>
        </row>
        <row r="13">
          <cell r="C13">
            <v>125000</v>
          </cell>
        </row>
        <row r="14">
          <cell r="C14">
            <v>125000</v>
          </cell>
        </row>
        <row r="15">
          <cell r="C15">
            <v>0.5</v>
          </cell>
        </row>
        <row r="16">
          <cell r="C16">
            <v>0.5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l.com/about/our-impac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rendlyne.com/fundamentals/financials/1127/RELIANCE/reliance-industries-ltd/" TargetMode="External"/><Relationship Id="rId1" Type="http://schemas.openxmlformats.org/officeDocument/2006/relationships/hyperlink" Target="https://trendlyne.com/fundamentals/financials/1127/RELIANCE/reliance-industries-lt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C5D3-1FA2-4EB8-84B6-1AC1112306DB}">
  <dimension ref="B2:S216"/>
  <sheetViews>
    <sheetView showGridLines="0" tabSelected="1" zoomScale="81" workbookViewId="0">
      <selection activeCell="B12" sqref="B12:S12"/>
    </sheetView>
  </sheetViews>
  <sheetFormatPr defaultRowHeight="14.4" outlineLevelRow="1" x14ac:dyDescent="0.3"/>
  <cols>
    <col min="2" max="2" width="33.6640625" bestFit="1" customWidth="1"/>
    <col min="3" max="3" width="10.88671875" bestFit="1" customWidth="1"/>
    <col min="4" max="7" width="12" bestFit="1" customWidth="1"/>
    <col min="8" max="9" width="12.88671875" bestFit="1" customWidth="1"/>
    <col min="11" max="11" width="9.21875" bestFit="1" customWidth="1"/>
  </cols>
  <sheetData>
    <row r="2" spans="2:19" ht="36.6" x14ac:dyDescent="0.7">
      <c r="B2" s="82" t="s">
        <v>55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</row>
    <row r="3" spans="2:19" ht="23.4" x14ac:dyDescent="0.45">
      <c r="B3" s="62" t="s">
        <v>56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</row>
    <row r="4" spans="2:19" x14ac:dyDescent="0.3">
      <c r="B4" s="83"/>
      <c r="C4" s="83"/>
      <c r="D4" s="83"/>
      <c r="E4" s="83"/>
      <c r="F4" s="83"/>
      <c r="G4" s="83"/>
      <c r="H4" s="83"/>
      <c r="I4" s="83"/>
      <c r="J4" s="83"/>
      <c r="K4" s="84"/>
      <c r="L4" s="84"/>
      <c r="M4" s="84"/>
      <c r="N4" s="84"/>
      <c r="O4" s="84"/>
      <c r="P4" s="84"/>
      <c r="Q4" s="84"/>
      <c r="R4" s="84"/>
      <c r="S4" s="84"/>
    </row>
    <row r="5" spans="2:19" x14ac:dyDescent="0.3"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2:19" ht="25.8" x14ac:dyDescent="0.5">
      <c r="B6" s="10" t="s">
        <v>57</v>
      </c>
      <c r="C6" s="10"/>
      <c r="D6" s="10"/>
      <c r="E6" s="10"/>
      <c r="F6" s="10"/>
      <c r="G6" s="10"/>
      <c r="H6" s="10"/>
      <c r="I6" s="10"/>
      <c r="J6" s="10"/>
      <c r="K6" s="85"/>
      <c r="L6" s="85"/>
      <c r="M6" s="85"/>
      <c r="N6" s="85"/>
      <c r="O6" s="85"/>
      <c r="P6" s="85"/>
      <c r="Q6" s="85"/>
      <c r="R6" s="85"/>
      <c r="S6" s="85"/>
    </row>
    <row r="7" spans="2:19" ht="35.4" customHeight="1" x14ac:dyDescent="0.35">
      <c r="B7" s="63" t="s">
        <v>58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</row>
    <row r="8" spans="2:19" x14ac:dyDescent="0.3">
      <c r="B8" s="64" t="s">
        <v>62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</row>
    <row r="9" spans="2:19" x14ac:dyDescent="0.3">
      <c r="B9" s="64" t="s">
        <v>61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</row>
    <row r="10" spans="2:19" x14ac:dyDescent="0.3">
      <c r="B10" s="64" t="s">
        <v>60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</row>
    <row r="11" spans="2:19" x14ac:dyDescent="0.3">
      <c r="B11" s="64" t="s">
        <v>59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</row>
    <row r="12" spans="2:19" x14ac:dyDescent="0.3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</row>
    <row r="13" spans="2:19" x14ac:dyDescent="0.3">
      <c r="B13" s="65" t="s">
        <v>63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</row>
    <row r="14" spans="2:19" x14ac:dyDescent="0.3">
      <c r="B14" s="58"/>
      <c r="C14" s="58"/>
      <c r="D14" s="58"/>
      <c r="E14" s="58"/>
      <c r="F14" s="58"/>
      <c r="G14" s="58"/>
      <c r="H14" s="58"/>
      <c r="I14" s="58"/>
      <c r="J14" s="58"/>
    </row>
    <row r="16" spans="2:19" ht="31.2" x14ac:dyDescent="0.6">
      <c r="B16" s="56" t="s">
        <v>64</v>
      </c>
      <c r="C16" s="56"/>
      <c r="D16" s="56"/>
      <c r="E16" s="56"/>
      <c r="F16" s="56"/>
      <c r="G16" s="56"/>
      <c r="H16" s="56"/>
      <c r="I16" s="56"/>
      <c r="J16" s="56"/>
    </row>
    <row r="17" spans="2:10" outlineLevel="1" x14ac:dyDescent="0.3">
      <c r="B17" s="11" t="s">
        <v>65</v>
      </c>
      <c r="C17" s="11"/>
      <c r="D17" s="11"/>
      <c r="E17" s="11"/>
      <c r="F17" s="11"/>
      <c r="G17" s="11"/>
      <c r="H17" s="11"/>
      <c r="I17" s="11"/>
      <c r="J17" s="11"/>
    </row>
    <row r="18" spans="2:10" outlineLevel="1" x14ac:dyDescent="0.3">
      <c r="B18" t="s">
        <v>66</v>
      </c>
      <c r="C18" s="86">
        <v>46291</v>
      </c>
    </row>
    <row r="19" spans="2:10" outlineLevel="1" x14ac:dyDescent="0.3">
      <c r="B19" t="s">
        <v>67</v>
      </c>
    </row>
    <row r="20" spans="2:10" outlineLevel="1" x14ac:dyDescent="0.3">
      <c r="B20" s="12"/>
      <c r="D20" s="12"/>
      <c r="E20" s="12"/>
      <c r="F20" s="12"/>
      <c r="G20" s="12"/>
      <c r="H20" s="12"/>
      <c r="I20" s="12"/>
      <c r="J20" s="12"/>
    </row>
    <row r="21" spans="2:10" outlineLevel="1" x14ac:dyDescent="0.3">
      <c r="B21" t="s">
        <v>68</v>
      </c>
      <c r="C21" s="12">
        <v>0.12</v>
      </c>
    </row>
    <row r="22" spans="2:10" outlineLevel="1" x14ac:dyDescent="0.3">
      <c r="C22" s="13">
        <v>2.5000000000000001E-2</v>
      </c>
    </row>
    <row r="23" spans="2:10" outlineLevel="1" x14ac:dyDescent="0.3">
      <c r="B23" t="s">
        <v>69</v>
      </c>
      <c r="C23" s="12">
        <v>0.06</v>
      </c>
    </row>
    <row r="24" spans="2:10" outlineLevel="1" x14ac:dyDescent="0.3"/>
    <row r="25" spans="2:10" outlineLevel="1" x14ac:dyDescent="0.3">
      <c r="B25" t="s">
        <v>70</v>
      </c>
      <c r="C25" s="13">
        <v>7.1099999999999997E-2</v>
      </c>
    </row>
    <row r="26" spans="2:10" outlineLevel="1" x14ac:dyDescent="0.3">
      <c r="B26" t="s">
        <v>71</v>
      </c>
      <c r="C26" s="12">
        <v>0.06</v>
      </c>
    </row>
    <row r="27" spans="2:10" outlineLevel="1" x14ac:dyDescent="0.3">
      <c r="B27" t="s">
        <v>72</v>
      </c>
      <c r="C27" s="12">
        <v>0.25</v>
      </c>
    </row>
    <row r="28" spans="2:10" outlineLevel="1" x14ac:dyDescent="0.3"/>
    <row r="30" spans="2:10" ht="31.2" x14ac:dyDescent="0.6">
      <c r="B30" s="56" t="s">
        <v>73</v>
      </c>
      <c r="C30" s="56"/>
      <c r="D30" s="56"/>
      <c r="E30" s="56"/>
      <c r="F30" s="56"/>
      <c r="G30" s="56"/>
      <c r="H30" s="56"/>
      <c r="I30" s="56"/>
      <c r="J30" s="56"/>
    </row>
    <row r="32" spans="2:10" outlineLevel="1" x14ac:dyDescent="0.3">
      <c r="B32" s="15" t="s">
        <v>74</v>
      </c>
      <c r="C32" s="16">
        <v>44286</v>
      </c>
      <c r="D32" s="16">
        <v>44651</v>
      </c>
      <c r="E32" s="16">
        <v>45016</v>
      </c>
      <c r="F32" s="16">
        <v>45382</v>
      </c>
      <c r="G32" s="16">
        <v>45747</v>
      </c>
      <c r="H32" s="16">
        <v>46112</v>
      </c>
      <c r="I32" s="25" t="s">
        <v>75</v>
      </c>
    </row>
    <row r="33" spans="2:9" outlineLevel="1" x14ac:dyDescent="0.3">
      <c r="B33" t="s">
        <v>34</v>
      </c>
      <c r="C33" s="21">
        <f>'Data Sheet'!F17</f>
        <v>466307</v>
      </c>
      <c r="D33" s="21">
        <f>'Data Sheet'!G17</f>
        <v>694673</v>
      </c>
      <c r="E33" s="21">
        <f>'Data Sheet'!H17</f>
        <v>876396</v>
      </c>
      <c r="F33" s="21">
        <f>'Data Sheet'!I17</f>
        <v>899041</v>
      </c>
      <c r="G33" s="21">
        <f>'Data Sheet'!J17</f>
        <v>962820</v>
      </c>
      <c r="H33" s="21">
        <f>'Data Sheet'!K17</f>
        <v>1055780</v>
      </c>
    </row>
    <row r="34" spans="2:9" outlineLevel="1" x14ac:dyDescent="0.3">
      <c r="B34" s="18" t="s">
        <v>79</v>
      </c>
      <c r="D34" s="17">
        <f>D33/C33-1</f>
        <v>0.48973315862725619</v>
      </c>
      <c r="E34" s="17">
        <f t="shared" ref="E34:H34" si="0">E33/D33-1</f>
        <v>0.26159502384575184</v>
      </c>
      <c r="F34" s="17">
        <f t="shared" si="0"/>
        <v>2.5838776078393799E-2</v>
      </c>
      <c r="G34" s="17">
        <f t="shared" si="0"/>
        <v>7.0941147289167006E-2</v>
      </c>
      <c r="H34" s="17">
        <f t="shared" si="0"/>
        <v>9.6549718535136275E-2</v>
      </c>
      <c r="I34" s="46">
        <f>_xlfn.RRI(5,C33,H33)</f>
        <v>0.17755255516198476</v>
      </c>
    </row>
    <row r="35" spans="2:9" outlineLevel="1" x14ac:dyDescent="0.3">
      <c r="B35" t="s">
        <v>76</v>
      </c>
      <c r="C35" s="21">
        <f>SUM('Data Sheet'!F18,'Data Sheet'!F19,'Data Sheet'!F20:F21)</f>
        <v>331730</v>
      </c>
      <c r="D35" s="21">
        <f>SUM('Data Sheet'!G18,'Data Sheet'!G19,'Data Sheet'!G20:G21)</f>
        <v>545982</v>
      </c>
      <c r="E35" s="21">
        <f>SUM('Data Sheet'!H18,'Data Sheet'!H19,'Data Sheet'!H20:H21)</f>
        <v>693729</v>
      </c>
      <c r="F35" s="21">
        <f>SUM('Data Sheet'!I18,'Data Sheet'!I19,'Data Sheet'!I20:I21)</f>
        <v>635522</v>
      </c>
      <c r="G35" s="21">
        <f>SUM('Data Sheet'!J18,'Data Sheet'!J19,'Data Sheet'!J20:J21)</f>
        <v>702118</v>
      </c>
      <c r="H35" s="21">
        <f>SUM('Data Sheet'!K18,'Data Sheet'!K19,'Data Sheet'!K20:K21)</f>
        <v>752428</v>
      </c>
    </row>
    <row r="36" spans="2:9" outlineLevel="1" x14ac:dyDescent="0.3">
      <c r="B36" s="18" t="s">
        <v>80</v>
      </c>
      <c r="D36" s="17">
        <f>D35/C35-1</f>
        <v>0.64586259910167909</v>
      </c>
      <c r="E36" s="17">
        <f t="shared" ref="E36:H36" si="1">E35/D35-1</f>
        <v>0.27060782223589785</v>
      </c>
      <c r="F36" s="17">
        <f t="shared" si="1"/>
        <v>-8.390452179453356E-2</v>
      </c>
      <c r="G36" s="17">
        <f t="shared" si="1"/>
        <v>0.10478944867368867</v>
      </c>
      <c r="H36" s="17">
        <f t="shared" si="1"/>
        <v>7.1654622157529158E-2</v>
      </c>
    </row>
    <row r="37" spans="2:9" outlineLevel="1" x14ac:dyDescent="0.3">
      <c r="B37" s="22" t="s">
        <v>77</v>
      </c>
      <c r="C37" s="23">
        <f>C33-C35</f>
        <v>134577</v>
      </c>
      <c r="D37" s="23">
        <f t="shared" ref="D37:H37" si="2">D33-D35</f>
        <v>148691</v>
      </c>
      <c r="E37" s="23">
        <f t="shared" si="2"/>
        <v>182667</v>
      </c>
      <c r="F37" s="23">
        <f t="shared" si="2"/>
        <v>263519</v>
      </c>
      <c r="G37" s="23">
        <f t="shared" si="2"/>
        <v>260702</v>
      </c>
      <c r="H37" s="23">
        <f t="shared" si="2"/>
        <v>303352</v>
      </c>
    </row>
    <row r="38" spans="2:9" outlineLevel="1" x14ac:dyDescent="0.3">
      <c r="B38" s="22" t="s">
        <v>78</v>
      </c>
      <c r="C38" s="24">
        <f>C37/C33</f>
        <v>0.28860171517905586</v>
      </c>
      <c r="D38" s="24">
        <f t="shared" ref="D38:H38" si="3">D37/D33</f>
        <v>0.21404459364334011</v>
      </c>
      <c r="E38" s="24">
        <f t="shared" si="3"/>
        <v>0.20842975093450905</v>
      </c>
      <c r="F38" s="24">
        <f t="shared" si="3"/>
        <v>0.29311121517261168</v>
      </c>
      <c r="G38" s="24">
        <f t="shared" si="3"/>
        <v>0.2707691988118236</v>
      </c>
      <c r="H38" s="24">
        <f t="shared" si="3"/>
        <v>0.2873250108924208</v>
      </c>
    </row>
    <row r="39" spans="2:9" outlineLevel="1" x14ac:dyDescent="0.3">
      <c r="B39" t="s">
        <v>81</v>
      </c>
      <c r="C39" s="21">
        <f>SUM('Data Sheet'!F22:F24)</f>
        <v>71915</v>
      </c>
      <c r="D39" s="21">
        <f>SUM('Data Sheet'!G22:G24)</f>
        <v>83024</v>
      </c>
      <c r="E39" s="21">
        <f>SUM('Data Sheet'!H22:H24)</f>
        <v>100875</v>
      </c>
      <c r="F39" s="21">
        <f>SUM('Data Sheet'!I22:I24)</f>
        <v>110787</v>
      </c>
      <c r="G39" s="21">
        <f>SUM('Data Sheet'!J22:J24)</f>
        <v>125352</v>
      </c>
      <c r="H39" s="21">
        <f>SUM('Data Sheet'!K22:K24)</f>
        <v>144821</v>
      </c>
    </row>
    <row r="40" spans="2:9" outlineLevel="1" x14ac:dyDescent="0.3">
      <c r="B40" t="s">
        <v>82</v>
      </c>
      <c r="C40" s="17">
        <f>C39/C33</f>
        <v>0.15422243286075482</v>
      </c>
      <c r="D40" s="17">
        <f t="shared" ref="D40:H40" si="4">D39/D33</f>
        <v>0.11951522514909893</v>
      </c>
      <c r="E40" s="17">
        <f t="shared" si="4"/>
        <v>0.11510207714320923</v>
      </c>
      <c r="F40" s="17">
        <f t="shared" si="4"/>
        <v>0.12322797291780908</v>
      </c>
      <c r="G40" s="17">
        <f t="shared" si="4"/>
        <v>0.13019255935688914</v>
      </c>
      <c r="H40" s="17">
        <f t="shared" si="4"/>
        <v>0.13716967550057776</v>
      </c>
    </row>
    <row r="41" spans="2:9" outlineLevel="1" x14ac:dyDescent="0.3">
      <c r="B41" s="22" t="s">
        <v>25</v>
      </c>
      <c r="C41" s="23">
        <f>C37-C39</f>
        <v>62662</v>
      </c>
      <c r="D41" s="23">
        <f t="shared" ref="D41:H41" si="5">D37-D39</f>
        <v>65667</v>
      </c>
      <c r="E41" s="23">
        <f t="shared" si="5"/>
        <v>81792</v>
      </c>
      <c r="F41" s="23">
        <f t="shared" si="5"/>
        <v>152732</v>
      </c>
      <c r="G41" s="23">
        <f t="shared" si="5"/>
        <v>135350</v>
      </c>
      <c r="H41" s="23">
        <f t="shared" si="5"/>
        <v>158531</v>
      </c>
    </row>
    <row r="42" spans="2:9" outlineLevel="1" x14ac:dyDescent="0.3">
      <c r="B42" s="22" t="s">
        <v>78</v>
      </c>
      <c r="C42" s="24">
        <f>C41/C33</f>
        <v>0.13437928231830104</v>
      </c>
      <c r="D42" s="24">
        <f t="shared" ref="D42:H42" si="6">D41/D33</f>
        <v>9.4529368494241178E-2</v>
      </c>
      <c r="E42" s="24">
        <f t="shared" si="6"/>
        <v>9.3327673791299817E-2</v>
      </c>
      <c r="F42" s="24">
        <f t="shared" si="6"/>
        <v>0.16988324225480261</v>
      </c>
      <c r="G42" s="24">
        <f t="shared" si="6"/>
        <v>0.14057663945493445</v>
      </c>
      <c r="H42" s="24">
        <f t="shared" si="6"/>
        <v>0.150155335391843</v>
      </c>
    </row>
    <row r="43" spans="2:9" outlineLevel="1" x14ac:dyDescent="0.3">
      <c r="B43" t="s">
        <v>31</v>
      </c>
      <c r="C43" s="21">
        <f>'Data Sheet'!F26</f>
        <v>26572</v>
      </c>
      <c r="D43" s="21">
        <f>'Data Sheet'!G26</f>
        <v>29782</v>
      </c>
      <c r="E43" s="21">
        <f>'Data Sheet'!H26</f>
        <v>40303</v>
      </c>
      <c r="F43" s="21">
        <f>'Data Sheet'!I26</f>
        <v>50832</v>
      </c>
      <c r="G43" s="21">
        <f>'Data Sheet'!J26</f>
        <v>53136</v>
      </c>
      <c r="H43" s="21">
        <f>'Data Sheet'!K26</f>
        <v>57688</v>
      </c>
    </row>
    <row r="44" spans="2:9" outlineLevel="1" x14ac:dyDescent="0.3">
      <c r="B44" t="s">
        <v>83</v>
      </c>
      <c r="C44" s="17">
        <f>C43/C33</f>
        <v>5.6983918319905125E-2</v>
      </c>
      <c r="D44" s="17">
        <f t="shared" ref="D44:H44" si="7">D43/D33</f>
        <v>4.2871969977241089E-2</v>
      </c>
      <c r="E44" s="17">
        <f t="shared" si="7"/>
        <v>4.5987202132369384E-2</v>
      </c>
      <c r="F44" s="17">
        <f t="shared" si="7"/>
        <v>5.6540246774062587E-2</v>
      </c>
      <c r="G44" s="17">
        <f t="shared" si="7"/>
        <v>5.5187885586090855E-2</v>
      </c>
      <c r="H44" s="17">
        <f t="shared" si="7"/>
        <v>5.4640171247797839E-2</v>
      </c>
    </row>
    <row r="45" spans="2:9" outlineLevel="1" x14ac:dyDescent="0.3">
      <c r="B45" s="22" t="s">
        <v>84</v>
      </c>
      <c r="C45" s="23">
        <f>C41-C43</f>
        <v>36090</v>
      </c>
      <c r="D45" s="23">
        <f t="shared" ref="D45:H45" si="8">D41-D43</f>
        <v>35885</v>
      </c>
      <c r="E45" s="23">
        <f t="shared" si="8"/>
        <v>41489</v>
      </c>
      <c r="F45" s="23">
        <f t="shared" si="8"/>
        <v>101900</v>
      </c>
      <c r="G45" s="23">
        <f t="shared" si="8"/>
        <v>82214</v>
      </c>
      <c r="H45" s="23">
        <f t="shared" si="8"/>
        <v>100843</v>
      </c>
    </row>
    <row r="46" spans="2:9" outlineLevel="1" x14ac:dyDescent="0.3">
      <c r="B46" s="22" t="s">
        <v>78</v>
      </c>
      <c r="C46" s="24">
        <f>C45/C33</f>
        <v>7.7395363998395902E-2</v>
      </c>
      <c r="D46" s="24">
        <f t="shared" ref="D46:H46" si="9">D45/D33</f>
        <v>5.1657398517000082E-2</v>
      </c>
      <c r="E46" s="24">
        <f t="shared" si="9"/>
        <v>4.734047165893044E-2</v>
      </c>
      <c r="F46" s="24">
        <f t="shared" si="9"/>
        <v>0.11334299548074003</v>
      </c>
      <c r="G46" s="24">
        <f t="shared" si="9"/>
        <v>8.5388753868843606E-2</v>
      </c>
      <c r="H46" s="24">
        <f t="shared" si="9"/>
        <v>9.5515164144045164E-2</v>
      </c>
    </row>
    <row r="47" spans="2:9" outlineLevel="1" x14ac:dyDescent="0.3">
      <c r="B47" t="s">
        <v>32</v>
      </c>
      <c r="C47" s="21">
        <f>'Data Sheet'!F25</f>
        <v>22432</v>
      </c>
      <c r="D47" s="21">
        <f>'Data Sheet'!G25</f>
        <v>19600</v>
      </c>
      <c r="E47" s="21">
        <f>'Data Sheet'!H25</f>
        <v>12020</v>
      </c>
      <c r="F47" s="21">
        <f>'Data Sheet'!I25</f>
        <v>15792</v>
      </c>
      <c r="G47" s="21">
        <f>'Data Sheet'!J25</f>
        <v>17824</v>
      </c>
      <c r="H47" s="21">
        <f>'Data Sheet'!K25</f>
        <v>28846</v>
      </c>
    </row>
    <row r="48" spans="2:9" outlineLevel="1" x14ac:dyDescent="0.3">
      <c r="B48" t="s">
        <v>30</v>
      </c>
      <c r="C48" s="21">
        <f>'Data Sheet'!F27</f>
        <v>21189</v>
      </c>
      <c r="D48" s="21">
        <f>'Data Sheet'!G27</f>
        <v>14584</v>
      </c>
      <c r="E48" s="21">
        <f>'Data Sheet'!H27</f>
        <v>19571</v>
      </c>
      <c r="F48" s="21">
        <f>'Data Sheet'!I27</f>
        <v>23118</v>
      </c>
      <c r="G48" s="21">
        <f>'Data Sheet'!J27</f>
        <v>24269</v>
      </c>
      <c r="H48" s="21">
        <f>'Data Sheet'!K27</f>
        <v>27061</v>
      </c>
    </row>
    <row r="49" spans="2:10" outlineLevel="1" x14ac:dyDescent="0.3">
      <c r="B49" t="s">
        <v>85</v>
      </c>
      <c r="C49" s="17">
        <f>C48/'Data Sheet'!F59</f>
        <v>7.5956581900043729E-2</v>
      </c>
      <c r="D49" s="17">
        <f>D48/'Data Sheet'!G59</f>
        <v>4.5695235588642615E-2</v>
      </c>
      <c r="E49" s="17">
        <f>E48/'Data Sheet'!H59</f>
        <v>4.3330883134365367E-2</v>
      </c>
      <c r="F49" s="17">
        <f>F48/'Data Sheet'!I59</f>
        <v>6.5916018236822069E-2</v>
      </c>
      <c r="G49" s="17">
        <f>G48/'Data Sheet'!J59</f>
        <v>6.4836113092518827E-2</v>
      </c>
      <c r="H49" s="17">
        <f>H48/'Data Sheet'!K59</f>
        <v>6.7155215628272646E-2</v>
      </c>
    </row>
    <row r="50" spans="2:10" outlineLevel="1" x14ac:dyDescent="0.3">
      <c r="B50" s="22" t="s">
        <v>86</v>
      </c>
      <c r="C50" s="23">
        <f>C45+C47-C48</f>
        <v>37333</v>
      </c>
      <c r="D50" s="23">
        <f t="shared" ref="D50:H50" si="10">D45+D47-D48</f>
        <v>40901</v>
      </c>
      <c r="E50" s="23">
        <f t="shared" si="10"/>
        <v>33938</v>
      </c>
      <c r="F50" s="23">
        <f t="shared" si="10"/>
        <v>94574</v>
      </c>
      <c r="G50" s="23">
        <f t="shared" si="10"/>
        <v>75769</v>
      </c>
      <c r="H50" s="23">
        <f t="shared" si="10"/>
        <v>102628</v>
      </c>
    </row>
    <row r="51" spans="2:10" outlineLevel="1" x14ac:dyDescent="0.3">
      <c r="B51" s="22" t="s">
        <v>80</v>
      </c>
      <c r="C51" s="24">
        <f>C50/C33</f>
        <v>8.0060989862901485E-2</v>
      </c>
      <c r="D51" s="24">
        <f t="shared" ref="D51:H51" si="11">D50/D33</f>
        <v>5.8878062052217371E-2</v>
      </c>
      <c r="E51" s="24">
        <f t="shared" si="11"/>
        <v>3.8724503534931697E-2</v>
      </c>
      <c r="F51" s="24">
        <f t="shared" si="11"/>
        <v>0.10519431260643286</v>
      </c>
      <c r="G51" s="24">
        <f t="shared" si="11"/>
        <v>7.8694875469973613E-2</v>
      </c>
      <c r="H51" s="24">
        <f t="shared" si="11"/>
        <v>9.7205857280872915E-2</v>
      </c>
    </row>
    <row r="52" spans="2:10" outlineLevel="1" x14ac:dyDescent="0.3">
      <c r="B52" t="s">
        <v>28</v>
      </c>
      <c r="C52" s="21">
        <f>'Data Sheet'!F29</f>
        <v>1722</v>
      </c>
      <c r="D52" s="21">
        <f>'Data Sheet'!G29</f>
        <v>15970</v>
      </c>
      <c r="E52" s="21">
        <f>'Data Sheet'!H29</f>
        <v>20376</v>
      </c>
      <c r="F52" s="21">
        <f>'Data Sheet'!I29</f>
        <v>25707</v>
      </c>
      <c r="G52" s="21">
        <f>'Data Sheet'!J29</f>
        <v>25230</v>
      </c>
      <c r="H52" s="21">
        <f>'Data Sheet'!K29</f>
        <v>27552</v>
      </c>
    </row>
    <row r="53" spans="2:10" outlineLevel="1" x14ac:dyDescent="0.3">
      <c r="B53" t="s">
        <v>87</v>
      </c>
      <c r="C53" s="17">
        <f>C52/C50</f>
        <v>4.6125411834034236E-2</v>
      </c>
      <c r="D53" s="17">
        <f t="shared" ref="D53:H53" si="12">D52/D50</f>
        <v>0.39045500110021758</v>
      </c>
      <c r="E53" s="17">
        <f t="shared" si="12"/>
        <v>0.60038894454593672</v>
      </c>
      <c r="F53" s="17">
        <f t="shared" si="12"/>
        <v>0.27181889314187829</v>
      </c>
      <c r="G53" s="17">
        <f t="shared" si="12"/>
        <v>0.3329857857435099</v>
      </c>
      <c r="H53" s="17">
        <f t="shared" si="12"/>
        <v>0.2684647464629536</v>
      </c>
    </row>
    <row r="54" spans="2:10" outlineLevel="1" x14ac:dyDescent="0.3">
      <c r="B54" s="22" t="s">
        <v>88</v>
      </c>
      <c r="C54" s="23">
        <f>C50-C52</f>
        <v>35611</v>
      </c>
      <c r="D54" s="23">
        <f t="shared" ref="D54:H54" si="13">D50-D52</f>
        <v>24931</v>
      </c>
      <c r="E54" s="23">
        <f t="shared" si="13"/>
        <v>13562</v>
      </c>
      <c r="F54" s="23">
        <f t="shared" si="13"/>
        <v>68867</v>
      </c>
      <c r="G54" s="23">
        <f t="shared" si="13"/>
        <v>50539</v>
      </c>
      <c r="H54" s="23">
        <f t="shared" si="13"/>
        <v>75076</v>
      </c>
    </row>
    <row r="55" spans="2:10" outlineLevel="1" x14ac:dyDescent="0.3">
      <c r="B55" s="22" t="s">
        <v>89</v>
      </c>
      <c r="C55" s="24">
        <f>C54/C33</f>
        <v>7.6368143733634708E-2</v>
      </c>
      <c r="D55" s="24">
        <f t="shared" ref="D55:H55" si="14">D54/D33</f>
        <v>3.5888828268840156E-2</v>
      </c>
      <c r="E55" s="24">
        <f t="shared" si="14"/>
        <v>1.5474739729528661E-2</v>
      </c>
      <c r="F55" s="24">
        <f t="shared" si="14"/>
        <v>7.6600510988931544E-2</v>
      </c>
      <c r="G55" s="24">
        <f t="shared" si="14"/>
        <v>5.2490600527616789E-2</v>
      </c>
      <c r="H55" s="24">
        <f t="shared" si="14"/>
        <v>7.1109511451249316E-2</v>
      </c>
    </row>
    <row r="56" spans="2:10" outlineLevel="1" x14ac:dyDescent="0.3"/>
    <row r="58" spans="2:10" ht="31.2" x14ac:dyDescent="0.6">
      <c r="B58" s="56" t="s">
        <v>90</v>
      </c>
      <c r="C58" s="56"/>
      <c r="D58" s="56"/>
      <c r="E58" s="56"/>
      <c r="F58" s="56"/>
      <c r="G58" s="56"/>
      <c r="H58" s="56"/>
      <c r="I58" s="56"/>
      <c r="J58" s="56"/>
    </row>
    <row r="59" spans="2:10" outlineLevel="1" x14ac:dyDescent="0.3">
      <c r="B59" s="15" t="s">
        <v>74</v>
      </c>
      <c r="C59" s="16">
        <v>44286</v>
      </c>
      <c r="D59" s="16">
        <v>44651</v>
      </c>
      <c r="E59" s="16">
        <v>45016</v>
      </c>
      <c r="F59" s="16">
        <v>45382</v>
      </c>
      <c r="G59" s="16">
        <v>45747</v>
      </c>
      <c r="H59" s="16">
        <v>46112</v>
      </c>
    </row>
    <row r="60" spans="2:10" outlineLevel="1" x14ac:dyDescent="0.3">
      <c r="B60" t="s">
        <v>91</v>
      </c>
      <c r="C60">
        <f>'Data Sheet'!F57</f>
        <v>6445</v>
      </c>
      <c r="D60">
        <f>'Data Sheet'!G57</f>
        <v>6765</v>
      </c>
      <c r="E60">
        <f>'Data Sheet'!H57</f>
        <v>6766</v>
      </c>
      <c r="F60">
        <f>'Data Sheet'!I57</f>
        <v>6766</v>
      </c>
      <c r="G60">
        <f>'Data Sheet'!J57</f>
        <v>13532</v>
      </c>
      <c r="H60">
        <f>'Data Sheet'!K57</f>
        <v>13532</v>
      </c>
    </row>
    <row r="61" spans="2:10" outlineLevel="1" x14ac:dyDescent="0.3">
      <c r="B61" t="s">
        <v>22</v>
      </c>
      <c r="C61">
        <f>'Data Sheet'!F58</f>
        <v>693727</v>
      </c>
      <c r="D61">
        <f>'Data Sheet'!G58</f>
        <v>772720</v>
      </c>
      <c r="E61">
        <f>'Data Sheet'!H58</f>
        <v>709106</v>
      </c>
      <c r="F61">
        <f>'Data Sheet'!I58</f>
        <v>786715</v>
      </c>
      <c r="G61">
        <f>'Data Sheet'!J58</f>
        <v>829668</v>
      </c>
      <c r="H61">
        <f>'Data Sheet'!K58</f>
        <v>890498</v>
      </c>
    </row>
    <row r="62" spans="2:10" outlineLevel="1" x14ac:dyDescent="0.3">
      <c r="B62" t="s">
        <v>21</v>
      </c>
      <c r="C62">
        <f>'Data Sheet'!F59</f>
        <v>278962</v>
      </c>
      <c r="D62">
        <f>'Data Sheet'!G59</f>
        <v>319158</v>
      </c>
      <c r="E62">
        <f>'Data Sheet'!H59</f>
        <v>451664</v>
      </c>
      <c r="F62">
        <f>'Data Sheet'!I59</f>
        <v>350719</v>
      </c>
      <c r="G62">
        <f>'Data Sheet'!J59</f>
        <v>374313</v>
      </c>
      <c r="H62">
        <f>'Data Sheet'!K59</f>
        <v>402962</v>
      </c>
    </row>
    <row r="63" spans="2:10" outlineLevel="1" x14ac:dyDescent="0.3">
      <c r="B63" t="s">
        <v>20</v>
      </c>
      <c r="C63">
        <f>'Data Sheet'!F60</f>
        <v>340931</v>
      </c>
      <c r="D63">
        <f>'Data Sheet'!G60</f>
        <v>399979</v>
      </c>
      <c r="E63">
        <f>'Data Sheet'!H60</f>
        <v>438346</v>
      </c>
      <c r="F63">
        <f>'Data Sheet'!I60</f>
        <v>610848</v>
      </c>
      <c r="G63">
        <f>'Data Sheet'!J60</f>
        <v>732200</v>
      </c>
      <c r="H63">
        <f>'Data Sheet'!K60</f>
        <v>870554</v>
      </c>
    </row>
    <row r="64" spans="2:10" outlineLevel="1" x14ac:dyDescent="0.3">
      <c r="B64" s="45" t="s">
        <v>15</v>
      </c>
      <c r="C64" s="45">
        <f>SUM(C60:C63)</f>
        <v>1320065</v>
      </c>
      <c r="D64" s="45">
        <f t="shared" ref="D64:H64" si="15">SUM(D60:D63)</f>
        <v>1498622</v>
      </c>
      <c r="E64" s="45">
        <f t="shared" si="15"/>
        <v>1605882</v>
      </c>
      <c r="F64" s="45">
        <f t="shared" si="15"/>
        <v>1755048</v>
      </c>
      <c r="G64" s="45">
        <f t="shared" si="15"/>
        <v>1949713</v>
      </c>
      <c r="H64" s="45">
        <f t="shared" si="15"/>
        <v>2177546</v>
      </c>
    </row>
    <row r="65" spans="2:10" outlineLevel="1" x14ac:dyDescent="0.3">
      <c r="B65" s="5" t="s">
        <v>19</v>
      </c>
      <c r="C65">
        <f>'Data Sheet'!F62</f>
        <v>541258</v>
      </c>
      <c r="D65">
        <f>'Data Sheet'!G62</f>
        <v>627798</v>
      </c>
      <c r="E65">
        <f>'Data Sheet'!H62</f>
        <v>724805</v>
      </c>
      <c r="F65">
        <f>'Data Sheet'!I62</f>
        <v>779985</v>
      </c>
      <c r="G65">
        <f>'Data Sheet'!J62</f>
        <v>999393</v>
      </c>
      <c r="H65">
        <f>'Data Sheet'!K62</f>
        <v>1124795</v>
      </c>
    </row>
    <row r="66" spans="2:10" outlineLevel="1" x14ac:dyDescent="0.3">
      <c r="B66" s="5" t="s">
        <v>18</v>
      </c>
      <c r="C66">
        <f>'Data Sheet'!F63</f>
        <v>125953</v>
      </c>
      <c r="D66">
        <f>'Data Sheet'!G63</f>
        <v>172506</v>
      </c>
      <c r="E66">
        <f>'Data Sheet'!H63</f>
        <v>293752</v>
      </c>
      <c r="F66">
        <f>'Data Sheet'!I63</f>
        <v>338855</v>
      </c>
      <c r="G66">
        <f>'Data Sheet'!J63</f>
        <v>262358</v>
      </c>
      <c r="H66">
        <f>'Data Sheet'!K63</f>
        <v>237686</v>
      </c>
    </row>
    <row r="67" spans="2:10" outlineLevel="1" x14ac:dyDescent="0.3">
      <c r="B67" s="5" t="s">
        <v>17</v>
      </c>
      <c r="C67">
        <f>'Data Sheet'!F64</f>
        <v>364828</v>
      </c>
      <c r="D67">
        <f>'Data Sheet'!G64</f>
        <v>394264</v>
      </c>
      <c r="E67">
        <f>'Data Sheet'!H64</f>
        <v>235560</v>
      </c>
      <c r="F67">
        <f>'Data Sheet'!I64</f>
        <v>225672</v>
      </c>
      <c r="G67">
        <f>'Data Sheet'!J64</f>
        <v>242381</v>
      </c>
      <c r="H67">
        <f>'Data Sheet'!K64</f>
        <v>248332</v>
      </c>
    </row>
    <row r="68" spans="2:10" outlineLevel="1" x14ac:dyDescent="0.3">
      <c r="B68" s="5" t="s">
        <v>14</v>
      </c>
      <c r="C68">
        <f>'Data Sheet'!F67</f>
        <v>19014</v>
      </c>
      <c r="D68">
        <f>'Data Sheet'!G67</f>
        <v>23640</v>
      </c>
      <c r="E68">
        <f>'Data Sheet'!H67</f>
        <v>28448</v>
      </c>
      <c r="F68">
        <f>'Data Sheet'!I67</f>
        <v>31628</v>
      </c>
      <c r="G68">
        <f>'Data Sheet'!J67</f>
        <v>42121</v>
      </c>
      <c r="H68">
        <f>'Data Sheet'!K67</f>
        <v>58491</v>
      </c>
    </row>
    <row r="69" spans="2:10" outlineLevel="1" x14ac:dyDescent="0.3">
      <c r="B69" t="s">
        <v>13</v>
      </c>
      <c r="C69">
        <f>'Data Sheet'!F68</f>
        <v>81672</v>
      </c>
      <c r="D69">
        <f>'Data Sheet'!G68</f>
        <v>107778</v>
      </c>
      <c r="E69">
        <f>'Data Sheet'!H68</f>
        <v>140008</v>
      </c>
      <c r="F69">
        <f>'Data Sheet'!I68</f>
        <v>152770</v>
      </c>
      <c r="G69">
        <f>'Data Sheet'!J68</f>
        <v>146062</v>
      </c>
      <c r="H69">
        <f>'Data Sheet'!K68</f>
        <v>166941</v>
      </c>
    </row>
    <row r="70" spans="2:10" outlineLevel="1" x14ac:dyDescent="0.3">
      <c r="B70" t="s">
        <v>12</v>
      </c>
      <c r="C70">
        <f>'Data Sheet'!F69</f>
        <v>17397</v>
      </c>
      <c r="D70">
        <f>'Data Sheet'!G69</f>
        <v>36178</v>
      </c>
      <c r="E70">
        <f>'Data Sheet'!H69</f>
        <v>68664</v>
      </c>
      <c r="F70">
        <f>'Data Sheet'!I69</f>
        <v>97225</v>
      </c>
      <c r="G70">
        <f>'Data Sheet'!J69</f>
        <v>106502</v>
      </c>
      <c r="H70">
        <f>'Data Sheet'!K69</f>
        <v>145977</v>
      </c>
    </row>
    <row r="71" spans="2:10" outlineLevel="1" x14ac:dyDescent="0.3">
      <c r="B71" t="s">
        <v>16</v>
      </c>
      <c r="C71">
        <f>'Data Sheet'!F65-SUM('Data Sheet'!F67:F69)</f>
        <v>169943</v>
      </c>
      <c r="D71">
        <f>'Data Sheet'!G65-SUM('Data Sheet'!G67:G69)</f>
        <v>136458</v>
      </c>
      <c r="E71">
        <f>'Data Sheet'!H65-SUM('Data Sheet'!H67:H69)</f>
        <v>114645</v>
      </c>
      <c r="F71">
        <f>'Data Sheet'!I65-SUM('Data Sheet'!I67:I69)</f>
        <v>128913</v>
      </c>
      <c r="G71">
        <f>'Data Sheet'!J65-SUM('Data Sheet'!J67:J69)</f>
        <v>150896</v>
      </c>
      <c r="H71">
        <f>'Data Sheet'!K65-SUM('Data Sheet'!K67:K69)</f>
        <v>195324</v>
      </c>
    </row>
    <row r="72" spans="2:10" outlineLevel="1" x14ac:dyDescent="0.3">
      <c r="B72" s="45" t="s">
        <v>15</v>
      </c>
      <c r="C72" s="45">
        <f>SUM(C65:C71)</f>
        <v>1320065</v>
      </c>
      <c r="D72" s="45">
        <f t="shared" ref="D72:H72" si="16">SUM(D65:D71)</f>
        <v>1498622</v>
      </c>
      <c r="E72" s="45">
        <f t="shared" si="16"/>
        <v>1605882</v>
      </c>
      <c r="F72" s="45">
        <f t="shared" si="16"/>
        <v>1755048</v>
      </c>
      <c r="G72" s="45">
        <f t="shared" si="16"/>
        <v>1949713</v>
      </c>
      <c r="H72" s="45">
        <f t="shared" si="16"/>
        <v>2177546</v>
      </c>
    </row>
    <row r="73" spans="2:10" outlineLevel="1" x14ac:dyDescent="0.3"/>
    <row r="75" spans="2:10" ht="31.2" x14ac:dyDescent="0.6">
      <c r="B75" s="61" t="s">
        <v>92</v>
      </c>
      <c r="C75" s="61"/>
      <c r="D75" s="61"/>
      <c r="E75" s="61"/>
      <c r="F75" s="61"/>
      <c r="G75" s="61"/>
      <c r="H75" s="61"/>
      <c r="I75" s="61"/>
      <c r="J75" s="61"/>
    </row>
    <row r="76" spans="2:10" outlineLevel="1" x14ac:dyDescent="0.3">
      <c r="B76" s="11" t="s">
        <v>93</v>
      </c>
      <c r="C76" s="11" t="s">
        <v>94</v>
      </c>
      <c r="D76" s="11" t="s">
        <v>95</v>
      </c>
      <c r="E76" s="11" t="s">
        <v>96</v>
      </c>
      <c r="F76" s="11" t="s">
        <v>97</v>
      </c>
      <c r="G76" s="11" t="s">
        <v>104</v>
      </c>
      <c r="H76" s="11" t="s">
        <v>161</v>
      </c>
    </row>
    <row r="77" spans="2:10" outlineLevel="1" x14ac:dyDescent="0.3">
      <c r="B77" t="s">
        <v>98</v>
      </c>
      <c r="C77" s="17">
        <f t="array" ref="C77:H77">CHOOSE(D79,C80:H80,C81:H81,C82:H82)</f>
        <v>0.12</v>
      </c>
      <c r="D77" s="17">
        <v>9.5000000000000001E-2</v>
      </c>
      <c r="E77" s="17">
        <v>7.0000000000000007E-2</v>
      </c>
      <c r="F77" s="17">
        <v>4.5000000000000005E-2</v>
      </c>
      <c r="G77" s="17">
        <v>2.0000000000000004E-2</v>
      </c>
      <c r="H77" s="17">
        <v>-4.9999999999999975E-3</v>
      </c>
    </row>
    <row r="78" spans="2:10" outlineLevel="1" x14ac:dyDescent="0.3">
      <c r="B78" t="s">
        <v>99</v>
      </c>
      <c r="C78" s="28">
        <f>H33*(1+C77)</f>
        <v>1182473.6000000001</v>
      </c>
      <c r="D78" s="28">
        <f t="shared" ref="D78:H78" si="17">C78*(1+D77)</f>
        <v>1294808.5920000002</v>
      </c>
      <c r="E78" s="28">
        <f t="shared" si="17"/>
        <v>1385445.1934400003</v>
      </c>
      <c r="F78" s="28">
        <f t="shared" si="17"/>
        <v>1447790.2271448001</v>
      </c>
      <c r="G78" s="28">
        <f t="shared" si="17"/>
        <v>1476746.0316876962</v>
      </c>
      <c r="H78" s="28">
        <f t="shared" si="17"/>
        <v>1469362.3015292578</v>
      </c>
    </row>
    <row r="79" spans="2:10" outlineLevel="1" x14ac:dyDescent="0.3">
      <c r="B79" t="s">
        <v>100</v>
      </c>
      <c r="C79" s="19" t="s">
        <v>101</v>
      </c>
      <c r="D79" s="26">
        <f>MATCH(C79,B80:B82,0)</f>
        <v>1</v>
      </c>
    </row>
    <row r="80" spans="2:10" outlineLevel="1" x14ac:dyDescent="0.3">
      <c r="B80" t="s">
        <v>101</v>
      </c>
      <c r="C80" s="12">
        <f>C21</f>
        <v>0.12</v>
      </c>
      <c r="D80" s="13">
        <f t="shared" ref="D80:H82" si="18">C80-Taper_rate</f>
        <v>9.5000000000000001E-2</v>
      </c>
      <c r="E80" s="13">
        <f t="shared" si="18"/>
        <v>7.0000000000000007E-2</v>
      </c>
      <c r="F80" s="13">
        <f t="shared" si="18"/>
        <v>4.5000000000000005E-2</v>
      </c>
      <c r="G80" s="13">
        <f t="shared" si="18"/>
        <v>2.0000000000000004E-2</v>
      </c>
      <c r="H80" s="13">
        <f t="shared" si="18"/>
        <v>-4.9999999999999975E-3</v>
      </c>
    </row>
    <row r="81" spans="2:10" outlineLevel="1" x14ac:dyDescent="0.3">
      <c r="B81" t="s">
        <v>102</v>
      </c>
      <c r="C81" s="13">
        <f>C80+5%</f>
        <v>0.16999999999999998</v>
      </c>
      <c r="D81" s="13">
        <f t="shared" si="18"/>
        <v>0.14499999999999999</v>
      </c>
      <c r="E81" s="13">
        <f t="shared" si="18"/>
        <v>0.12</v>
      </c>
      <c r="F81" s="13">
        <f t="shared" si="18"/>
        <v>9.5000000000000001E-2</v>
      </c>
      <c r="G81" s="13">
        <f t="shared" si="18"/>
        <v>7.0000000000000007E-2</v>
      </c>
      <c r="H81" s="13">
        <f t="shared" si="18"/>
        <v>4.5000000000000005E-2</v>
      </c>
    </row>
    <row r="82" spans="2:10" outlineLevel="1" x14ac:dyDescent="0.3">
      <c r="B82" t="s">
        <v>103</v>
      </c>
      <c r="C82" s="13">
        <f>C80-5%</f>
        <v>6.9999999999999993E-2</v>
      </c>
      <c r="D82" s="13">
        <f t="shared" si="18"/>
        <v>4.4999999999999991E-2</v>
      </c>
      <c r="E82" s="13">
        <f t="shared" si="18"/>
        <v>1.999999999999999E-2</v>
      </c>
      <c r="F82" s="13">
        <f t="shared" si="18"/>
        <v>-5.0000000000000114E-3</v>
      </c>
      <c r="G82" s="13">
        <f t="shared" si="18"/>
        <v>-3.0000000000000013E-2</v>
      </c>
      <c r="H82" s="13">
        <f t="shared" si="18"/>
        <v>-5.5000000000000014E-2</v>
      </c>
    </row>
    <row r="83" spans="2:10" outlineLevel="1" x14ac:dyDescent="0.3"/>
    <row r="85" spans="2:10" ht="31.2" x14ac:dyDescent="0.6">
      <c r="B85" s="56" t="s">
        <v>105</v>
      </c>
      <c r="C85" s="56"/>
      <c r="D85" s="56"/>
      <c r="E85" s="56"/>
      <c r="F85" s="56"/>
      <c r="G85" s="56"/>
      <c r="H85" s="56"/>
      <c r="I85" s="56"/>
      <c r="J85" s="56"/>
    </row>
    <row r="86" spans="2:10" outlineLevel="1" x14ac:dyDescent="0.3">
      <c r="C86" s="11" t="s">
        <v>94</v>
      </c>
      <c r="D86" s="11" t="s">
        <v>95</v>
      </c>
      <c r="E86" s="11" t="s">
        <v>96</v>
      </c>
      <c r="F86" s="11" t="s">
        <v>97</v>
      </c>
      <c r="G86" s="11" t="s">
        <v>104</v>
      </c>
      <c r="H86" s="11" t="s">
        <v>161</v>
      </c>
    </row>
    <row r="87" spans="2:10" outlineLevel="1" x14ac:dyDescent="0.3">
      <c r="B87" t="s">
        <v>106</v>
      </c>
      <c r="C87" s="28">
        <f t="shared" ref="C87:H87" si="19">C78</f>
        <v>1182473.6000000001</v>
      </c>
      <c r="D87" s="28">
        <f t="shared" si="19"/>
        <v>1294808.5920000002</v>
      </c>
      <c r="E87" s="28">
        <f t="shared" si="19"/>
        <v>1385445.1934400003</v>
      </c>
      <c r="F87" s="28">
        <f t="shared" si="19"/>
        <v>1447790.2271448001</v>
      </c>
      <c r="G87" s="28">
        <f t="shared" si="19"/>
        <v>1476746.0316876962</v>
      </c>
      <c r="H87" s="28">
        <f t="shared" si="19"/>
        <v>1469362.3015292578</v>
      </c>
    </row>
    <row r="88" spans="2:10" outlineLevel="1" x14ac:dyDescent="0.3">
      <c r="B88" t="s">
        <v>107</v>
      </c>
      <c r="C88" s="13">
        <f>H42</f>
        <v>0.150155335391843</v>
      </c>
      <c r="D88" s="13">
        <f>C88</f>
        <v>0.150155335391843</v>
      </c>
      <c r="E88" s="13">
        <f t="shared" ref="E88:H88" si="20">D88</f>
        <v>0.150155335391843</v>
      </c>
      <c r="F88" s="13">
        <f t="shared" si="20"/>
        <v>0.150155335391843</v>
      </c>
      <c r="G88" s="13">
        <f t="shared" si="20"/>
        <v>0.150155335391843</v>
      </c>
      <c r="H88" s="13">
        <f t="shared" si="20"/>
        <v>0.150155335391843</v>
      </c>
    </row>
    <row r="89" spans="2:10" outlineLevel="1" x14ac:dyDescent="0.3">
      <c r="B89" t="s">
        <v>25</v>
      </c>
      <c r="C89">
        <f>C87*C88</f>
        <v>177554.72000000003</v>
      </c>
      <c r="D89">
        <f t="shared" ref="D89:H89" si="21">D87*D88</f>
        <v>194422.41840000002</v>
      </c>
      <c r="E89">
        <f t="shared" si="21"/>
        <v>208031.98768800005</v>
      </c>
      <c r="F89">
        <f t="shared" si="21"/>
        <v>217393.42713396004</v>
      </c>
      <c r="G89">
        <f t="shared" si="21"/>
        <v>221741.29567663925</v>
      </c>
      <c r="H89">
        <f t="shared" si="21"/>
        <v>220632.58919825606</v>
      </c>
    </row>
    <row r="90" spans="2:10" outlineLevel="1" x14ac:dyDescent="0.3">
      <c r="B90" t="s">
        <v>108</v>
      </c>
      <c r="C90" s="21">
        <f>C87*AVERAGE($C$44:$H$44)</f>
        <v>61530.288511417013</v>
      </c>
      <c r="D90" s="21">
        <f t="shared" ref="D90:H90" si="22">D87*AVERAGE($C$44:$H$44)</f>
        <v>67375.665920001629</v>
      </c>
      <c r="E90" s="21">
        <f t="shared" si="22"/>
        <v>72091.962534401755</v>
      </c>
      <c r="F90" s="21">
        <f t="shared" si="22"/>
        <v>75336.100848449816</v>
      </c>
      <c r="G90" s="21">
        <f t="shared" si="22"/>
        <v>76842.822865418813</v>
      </c>
      <c r="H90" s="21">
        <f t="shared" si="22"/>
        <v>76458.608751091728</v>
      </c>
    </row>
    <row r="91" spans="2:10" outlineLevel="1" x14ac:dyDescent="0.3">
      <c r="B91" t="s">
        <v>84</v>
      </c>
      <c r="C91" s="21">
        <f>C89-C90</f>
        <v>116024.43148858301</v>
      </c>
      <c r="D91" s="21">
        <f t="shared" ref="D91:H91" si="23">D89-D90</f>
        <v>127046.75247999839</v>
      </c>
      <c r="E91" s="21">
        <f t="shared" si="23"/>
        <v>135940.02515359828</v>
      </c>
      <c r="F91" s="21">
        <f t="shared" si="23"/>
        <v>142057.32628551021</v>
      </c>
      <c r="G91" s="21">
        <f t="shared" si="23"/>
        <v>144898.47281122045</v>
      </c>
      <c r="H91" s="21">
        <f t="shared" si="23"/>
        <v>144173.98044716433</v>
      </c>
    </row>
    <row r="92" spans="2:10" outlineLevel="1" x14ac:dyDescent="0.3">
      <c r="B92" t="s">
        <v>109</v>
      </c>
      <c r="C92" s="21">
        <f t="shared" ref="C92:H92" si="24">C91*Tax_rate</f>
        <v>29006.107872145752</v>
      </c>
      <c r="D92" s="21">
        <f t="shared" si="24"/>
        <v>31761.688119999599</v>
      </c>
      <c r="E92" s="21">
        <f t="shared" si="24"/>
        <v>33985.006288399571</v>
      </c>
      <c r="F92" s="21">
        <f t="shared" si="24"/>
        <v>35514.331571377552</v>
      </c>
      <c r="G92" s="21">
        <f t="shared" si="24"/>
        <v>36224.618202805112</v>
      </c>
      <c r="H92" s="21">
        <f t="shared" si="24"/>
        <v>36043.495111791082</v>
      </c>
    </row>
    <row r="93" spans="2:10" outlineLevel="1" x14ac:dyDescent="0.3">
      <c r="B93" t="s">
        <v>110</v>
      </c>
      <c r="C93" s="21">
        <f t="shared" ref="C93:H93" si="25">C91-C92</f>
        <v>87018.323616437265</v>
      </c>
      <c r="D93" s="21">
        <f t="shared" si="25"/>
        <v>95285.064359998796</v>
      </c>
      <c r="E93" s="21">
        <f t="shared" si="25"/>
        <v>101955.01886519871</v>
      </c>
      <c r="F93" s="21">
        <f t="shared" si="25"/>
        <v>106542.99471413266</v>
      </c>
      <c r="G93" s="21">
        <f t="shared" si="25"/>
        <v>108673.85460841533</v>
      </c>
      <c r="H93" s="21">
        <f t="shared" si="25"/>
        <v>108130.48533537325</v>
      </c>
    </row>
    <row r="94" spans="2:10" outlineLevel="1" x14ac:dyDescent="0.3">
      <c r="B94" t="s">
        <v>111</v>
      </c>
      <c r="C94" s="21">
        <f>C90</f>
        <v>61530.288511417013</v>
      </c>
      <c r="D94" s="21">
        <f t="shared" ref="D94:H94" si="26">D90</f>
        <v>67375.665920001629</v>
      </c>
      <c r="E94" s="21">
        <f t="shared" si="26"/>
        <v>72091.962534401755</v>
      </c>
      <c r="F94" s="21">
        <f t="shared" si="26"/>
        <v>75336.100848449816</v>
      </c>
      <c r="G94" s="21">
        <f t="shared" si="26"/>
        <v>76842.822865418813</v>
      </c>
      <c r="H94" s="21">
        <f t="shared" si="26"/>
        <v>76458.608751091728</v>
      </c>
    </row>
    <row r="95" spans="2:10" outlineLevel="1" x14ac:dyDescent="0.3">
      <c r="B95" t="s">
        <v>112</v>
      </c>
      <c r="C95" s="21">
        <f>C93*-50%</f>
        <v>-43509.161808218632</v>
      </c>
      <c r="D95" s="21">
        <f t="shared" ref="D95:H95" si="27">D93*-50%</f>
        <v>-47642.532179999398</v>
      </c>
      <c r="E95" s="21">
        <f t="shared" si="27"/>
        <v>-50977.509432599356</v>
      </c>
      <c r="F95" s="21">
        <f t="shared" si="27"/>
        <v>-53271.497357066328</v>
      </c>
      <c r="G95" s="21">
        <f t="shared" si="27"/>
        <v>-54336.927304207667</v>
      </c>
      <c r="H95" s="21">
        <f t="shared" si="27"/>
        <v>-54065.242667686623</v>
      </c>
    </row>
    <row r="96" spans="2:10" outlineLevel="1" x14ac:dyDescent="0.3">
      <c r="B96" s="43" t="s">
        <v>113</v>
      </c>
      <c r="C96" s="44">
        <f>SUM(C93:C95)</f>
        <v>105039.45031963565</v>
      </c>
      <c r="D96" s="44">
        <f t="shared" ref="D96:H96" si="28">SUM(D93:D95)</f>
        <v>115018.19810000103</v>
      </c>
      <c r="E96" s="44">
        <f t="shared" si="28"/>
        <v>123069.4719670011</v>
      </c>
      <c r="F96" s="44">
        <f t="shared" si="28"/>
        <v>128607.59820551616</v>
      </c>
      <c r="G96" s="44">
        <f t="shared" si="28"/>
        <v>131179.75016962647</v>
      </c>
      <c r="H96" s="44">
        <f t="shared" si="28"/>
        <v>130523.85141877833</v>
      </c>
    </row>
    <row r="97" spans="2:10" outlineLevel="1" x14ac:dyDescent="0.3"/>
    <row r="99" spans="2:10" ht="31.2" x14ac:dyDescent="0.6">
      <c r="B99" s="56" t="s">
        <v>114</v>
      </c>
      <c r="C99" s="56"/>
      <c r="D99" s="56"/>
      <c r="E99" s="56"/>
      <c r="F99" s="56"/>
      <c r="G99" s="56"/>
      <c r="H99" s="56"/>
      <c r="I99" s="56"/>
      <c r="J99" s="56"/>
    </row>
    <row r="100" spans="2:10" outlineLevel="1" x14ac:dyDescent="0.3"/>
    <row r="101" spans="2:10" outlineLevel="1" x14ac:dyDescent="0.3">
      <c r="B101" s="60" t="s">
        <v>115</v>
      </c>
      <c r="C101" s="60"/>
      <c r="D101" s="60"/>
      <c r="E101" s="60"/>
      <c r="F101" s="60"/>
      <c r="G101" s="60"/>
      <c r="H101" s="29"/>
    </row>
    <row r="102" spans="2:10" outlineLevel="1" x14ac:dyDescent="0.3">
      <c r="B102" s="58" t="s">
        <v>116</v>
      </c>
      <c r="C102" s="58"/>
      <c r="D102" s="58"/>
      <c r="E102" s="58"/>
      <c r="F102" s="58"/>
      <c r="G102" s="58"/>
      <c r="H102" s="12">
        <f>Comps!F20</f>
        <v>0.214217940597455</v>
      </c>
    </row>
    <row r="103" spans="2:10" outlineLevel="1" x14ac:dyDescent="0.3">
      <c r="B103" s="58" t="s">
        <v>117</v>
      </c>
      <c r="C103" s="58"/>
      <c r="D103" s="58"/>
      <c r="E103" s="58"/>
      <c r="F103" s="58"/>
      <c r="G103" s="58"/>
      <c r="H103" s="12">
        <f>1-H102</f>
        <v>0.78578205940254497</v>
      </c>
    </row>
    <row r="104" spans="2:10" outlineLevel="1" x14ac:dyDescent="0.3">
      <c r="B104" s="60" t="s">
        <v>118</v>
      </c>
      <c r="C104" s="60"/>
      <c r="D104" s="60"/>
      <c r="E104" s="60"/>
      <c r="F104" s="60"/>
      <c r="G104" s="60"/>
      <c r="H104" s="29"/>
    </row>
    <row r="105" spans="2:10" outlineLevel="1" x14ac:dyDescent="0.3">
      <c r="B105" s="58" t="s">
        <v>119</v>
      </c>
      <c r="C105" s="58"/>
      <c r="D105" s="58"/>
      <c r="E105" s="58"/>
      <c r="F105" s="58"/>
      <c r="G105" s="58"/>
      <c r="H105" s="34">
        <f>Comps!D5</f>
        <v>1659089</v>
      </c>
    </row>
    <row r="106" spans="2:10" outlineLevel="1" x14ac:dyDescent="0.3">
      <c r="B106" s="58" t="s">
        <v>120</v>
      </c>
      <c r="C106" s="58"/>
      <c r="D106" s="58"/>
      <c r="E106" s="58"/>
      <c r="F106" s="58"/>
      <c r="G106" s="58"/>
      <c r="H106" s="34">
        <f>Comps!E5</f>
        <v>313923</v>
      </c>
    </row>
    <row r="107" spans="2:10" outlineLevel="1" x14ac:dyDescent="0.3">
      <c r="B107" s="58" t="s">
        <v>121</v>
      </c>
      <c r="C107" s="58"/>
      <c r="D107" s="58"/>
      <c r="E107" s="58"/>
      <c r="F107" s="58"/>
      <c r="G107" s="58"/>
      <c r="H107" s="14">
        <f>H106/H105</f>
        <v>0.18921408073949017</v>
      </c>
    </row>
    <row r="108" spans="2:10" outlineLevel="1" x14ac:dyDescent="0.3">
      <c r="B108" s="60" t="s">
        <v>122</v>
      </c>
      <c r="C108" s="60"/>
      <c r="D108" s="60"/>
      <c r="E108" s="60"/>
      <c r="F108" s="60"/>
      <c r="G108" s="60"/>
      <c r="H108" s="29"/>
    </row>
    <row r="109" spans="2:10" outlineLevel="1" x14ac:dyDescent="0.3">
      <c r="B109" s="58" t="s">
        <v>123</v>
      </c>
      <c r="C109" s="58"/>
      <c r="D109" s="58"/>
      <c r="E109" s="58"/>
      <c r="F109" s="58"/>
      <c r="G109" s="58"/>
      <c r="H109" s="12">
        <v>7.0000000000000007E-2</v>
      </c>
    </row>
    <row r="110" spans="2:10" outlineLevel="1" x14ac:dyDescent="0.3">
      <c r="B110" s="58" t="s">
        <v>124</v>
      </c>
      <c r="C110" s="58"/>
      <c r="D110" s="58"/>
      <c r="E110" s="58"/>
      <c r="F110" s="58"/>
      <c r="G110" s="58"/>
      <c r="H110" s="12">
        <f>Tax_rate</f>
        <v>0.25</v>
      </c>
    </row>
    <row r="111" spans="2:10" outlineLevel="1" x14ac:dyDescent="0.3">
      <c r="B111" s="58" t="s">
        <v>125</v>
      </c>
      <c r="C111" s="58"/>
      <c r="D111" s="58"/>
      <c r="E111" s="58"/>
      <c r="F111" s="58"/>
      <c r="G111" s="58"/>
      <c r="H111" s="14">
        <f>H109*(1-H110)</f>
        <v>5.2500000000000005E-2</v>
      </c>
    </row>
    <row r="112" spans="2:10" outlineLevel="1" x14ac:dyDescent="0.3">
      <c r="B112" s="60" t="s">
        <v>126</v>
      </c>
      <c r="C112" s="60"/>
      <c r="D112" s="60"/>
      <c r="E112" s="60"/>
      <c r="F112" s="60"/>
      <c r="G112" s="60"/>
      <c r="H112" s="11"/>
    </row>
    <row r="113" spans="2:10" outlineLevel="1" x14ac:dyDescent="0.3">
      <c r="B113" s="58" t="s">
        <v>127</v>
      </c>
      <c r="C113" s="58"/>
      <c r="D113" s="58"/>
      <c r="E113" s="58"/>
      <c r="F113" s="58"/>
      <c r="G113" s="58"/>
      <c r="H113" s="30">
        <f>C25</f>
        <v>7.1099999999999997E-2</v>
      </c>
    </row>
    <row r="114" spans="2:10" outlineLevel="1" x14ac:dyDescent="0.3">
      <c r="B114" s="58" t="s">
        <v>128</v>
      </c>
      <c r="C114" s="58"/>
      <c r="D114" s="58"/>
      <c r="E114" s="58"/>
      <c r="F114" s="58"/>
      <c r="G114" s="58"/>
      <c r="H114" s="14">
        <f>C26</f>
        <v>0.06</v>
      </c>
    </row>
    <row r="115" spans="2:10" outlineLevel="1" x14ac:dyDescent="0.3">
      <c r="B115" s="58" t="s">
        <v>129</v>
      </c>
      <c r="C115" s="58"/>
      <c r="D115" s="58"/>
      <c r="E115" s="58"/>
      <c r="F115" s="58"/>
      <c r="G115" s="58"/>
      <c r="H115" s="36">
        <f>Comps!I21*(1+Sheet1!H107*(1-Tax_rate))</f>
        <v>0.66502072956643377</v>
      </c>
    </row>
    <row r="116" spans="2:10" outlineLevel="1" x14ac:dyDescent="0.3">
      <c r="B116" s="58" t="s">
        <v>126</v>
      </c>
      <c r="C116" s="58"/>
      <c r="D116" s="58"/>
      <c r="E116" s="58"/>
      <c r="F116" s="58"/>
      <c r="G116" s="58"/>
      <c r="H116" s="13">
        <f>H113+H114*H115</f>
        <v>0.11100124377398601</v>
      </c>
    </row>
    <row r="117" spans="2:10" ht="18" outlineLevel="1" x14ac:dyDescent="0.35">
      <c r="B117" s="59" t="s">
        <v>130</v>
      </c>
      <c r="C117" s="59"/>
      <c r="D117" s="59"/>
      <c r="E117" s="59"/>
      <c r="F117" s="59"/>
      <c r="G117" s="59"/>
      <c r="H117" s="42">
        <f>(H116*H103)+(H111*H102)</f>
        <v>9.8469227810333043E-2</v>
      </c>
    </row>
    <row r="118" spans="2:10" outlineLevel="1" x14ac:dyDescent="0.3"/>
    <row r="120" spans="2:10" ht="31.2" x14ac:dyDescent="0.6">
      <c r="B120" s="56" t="s">
        <v>154</v>
      </c>
      <c r="C120" s="56"/>
      <c r="D120" s="56"/>
      <c r="E120" s="56"/>
      <c r="F120" s="56"/>
      <c r="G120" s="56"/>
      <c r="H120" s="56"/>
      <c r="I120" s="56"/>
      <c r="J120" s="56"/>
    </row>
    <row r="121" spans="2:10" outlineLevel="1" x14ac:dyDescent="0.3"/>
    <row r="122" spans="2:10" outlineLevel="1" x14ac:dyDescent="0.3">
      <c r="B122" s="40" t="s">
        <v>162</v>
      </c>
      <c r="H122" s="28">
        <f>H96</f>
        <v>130523.85141877833</v>
      </c>
    </row>
    <row r="123" spans="2:10" outlineLevel="1" x14ac:dyDescent="0.3">
      <c r="B123" s="41" t="s">
        <v>69</v>
      </c>
      <c r="H123" s="12">
        <f>C23</f>
        <v>0.06</v>
      </c>
    </row>
    <row r="124" spans="2:10" outlineLevel="1" x14ac:dyDescent="0.3">
      <c r="B124" t="s">
        <v>155</v>
      </c>
    </row>
    <row r="125" spans="2:10" outlineLevel="1" x14ac:dyDescent="0.3">
      <c r="B125" t="s">
        <v>154</v>
      </c>
      <c r="H125" s="28">
        <f>H122*(1+H123)/(H117-H123)</f>
        <v>3596518.3181228829</v>
      </c>
    </row>
    <row r="127" spans="2:10" ht="31.2" x14ac:dyDescent="0.6">
      <c r="B127" s="56" t="s">
        <v>156</v>
      </c>
      <c r="C127" s="56"/>
      <c r="D127" s="56"/>
      <c r="E127" s="56"/>
      <c r="F127" s="56"/>
      <c r="G127" s="56"/>
      <c r="H127" s="56"/>
      <c r="I127" s="56"/>
      <c r="J127" s="56"/>
    </row>
    <row r="128" spans="2:10" outlineLevel="1" x14ac:dyDescent="0.3"/>
    <row r="129" spans="2:10" outlineLevel="1" x14ac:dyDescent="0.3">
      <c r="B129" s="11" t="s">
        <v>157</v>
      </c>
      <c r="C129" s="11" t="s">
        <v>94</v>
      </c>
      <c r="D129" s="11" t="s">
        <v>95</v>
      </c>
      <c r="E129" s="11" t="s">
        <v>96</v>
      </c>
      <c r="F129" s="11" t="s">
        <v>97</v>
      </c>
      <c r="G129" s="11" t="s">
        <v>104</v>
      </c>
      <c r="H129" s="11" t="s">
        <v>161</v>
      </c>
      <c r="I129" s="11" t="s">
        <v>154</v>
      </c>
    </row>
    <row r="130" spans="2:10" outlineLevel="1" x14ac:dyDescent="0.3">
      <c r="B130" t="s">
        <v>158</v>
      </c>
      <c r="C130" s="21">
        <f>C96</f>
        <v>105039.45031963565</v>
      </c>
      <c r="D130" s="21">
        <f t="shared" ref="D130:H130" si="29">D96</f>
        <v>115018.19810000103</v>
      </c>
      <c r="E130" s="21">
        <f t="shared" si="29"/>
        <v>123069.4719670011</v>
      </c>
      <c r="F130" s="21">
        <f t="shared" si="29"/>
        <v>128607.59820551616</v>
      </c>
      <c r="G130" s="21">
        <f t="shared" si="29"/>
        <v>131179.75016962647</v>
      </c>
      <c r="H130" s="21">
        <f t="shared" si="29"/>
        <v>130523.85141877833</v>
      </c>
      <c r="I130" s="28">
        <f>H125</f>
        <v>3596518.3181228829</v>
      </c>
    </row>
    <row r="131" spans="2:10" outlineLevel="1" x14ac:dyDescent="0.3">
      <c r="B131" t="s">
        <v>159</v>
      </c>
      <c r="C131" s="27">
        <f>1/(1+$H$117)^1</f>
        <v>0.9103577730560376</v>
      </c>
      <c r="D131" s="27">
        <f>1/(1+$H$117)^2</f>
        <v>0.82875127496354806</v>
      </c>
      <c r="E131" s="27">
        <f>1/(1+$H$117)^3</f>
        <v>0.7544601650931676</v>
      </c>
      <c r="F131" s="27">
        <f>1/(1+$H$117)^4</f>
        <v>0.68682867575370643</v>
      </c>
      <c r="G131" s="27">
        <f>1/(1+$H$117)^5</f>
        <v>0.62525982373017153</v>
      </c>
      <c r="H131" s="27">
        <f>1/(1+$H$117)^6</f>
        <v>0.56921014071240961</v>
      </c>
      <c r="I131" s="27">
        <f>H131</f>
        <v>0.56921014071240961</v>
      </c>
    </row>
    <row r="132" spans="2:10" outlineLevel="1" x14ac:dyDescent="0.3">
      <c r="B132" t="s">
        <v>160</v>
      </c>
      <c r="C132" s="21">
        <f>C130*C131</f>
        <v>95623.480076013817</v>
      </c>
      <c r="D132" s="21">
        <f t="shared" ref="D132:H132" si="30">D130*D131</f>
        <v>95321.478319385787</v>
      </c>
      <c r="E132" s="21">
        <f t="shared" si="30"/>
        <v>92851.014138152605</v>
      </c>
      <c r="F132" s="21">
        <f t="shared" si="30"/>
        <v>88331.386367359417</v>
      </c>
      <c r="G132" s="21">
        <f t="shared" si="30"/>
        <v>82021.427468028589</v>
      </c>
      <c r="H132" s="21">
        <f t="shared" si="30"/>
        <v>74295.499832408459</v>
      </c>
      <c r="I132" s="21">
        <f>I130*I131</f>
        <v>2047174.6979334848</v>
      </c>
    </row>
    <row r="133" spans="2:10" outlineLevel="1" x14ac:dyDescent="0.3"/>
    <row r="134" spans="2:10" ht="31.2" x14ac:dyDescent="0.6">
      <c r="B134" s="56" t="s">
        <v>163</v>
      </c>
      <c r="C134" s="56"/>
      <c r="D134" s="56"/>
      <c r="E134" s="56"/>
      <c r="F134" s="56"/>
      <c r="G134" s="56"/>
      <c r="H134" s="56"/>
      <c r="I134" s="56"/>
      <c r="J134" s="56"/>
    </row>
    <row r="136" spans="2:10" ht="14.4" customHeight="1" outlineLevel="1" x14ac:dyDescent="0.35">
      <c r="B136" s="57" t="s">
        <v>164</v>
      </c>
      <c r="C136" s="57"/>
      <c r="D136" s="57"/>
      <c r="E136" s="57"/>
      <c r="F136" s="57"/>
      <c r="G136" s="57"/>
      <c r="H136" s="57"/>
      <c r="I136" s="57"/>
      <c r="J136" s="57"/>
    </row>
    <row r="137" spans="2:10" outlineLevel="1" x14ac:dyDescent="0.3"/>
    <row r="138" spans="2:10" ht="18" outlineLevel="1" x14ac:dyDescent="0.35">
      <c r="B138" s="52">
        <f>SUM(C132:H132)</f>
        <v>528444.28620134876</v>
      </c>
      <c r="C138" s="53"/>
      <c r="D138" s="53"/>
      <c r="E138" s="53"/>
      <c r="F138" s="53"/>
      <c r="G138" s="53"/>
      <c r="H138" s="53"/>
      <c r="I138" s="53"/>
      <c r="J138" s="53"/>
    </row>
    <row r="139" spans="2:10" ht="18" outlineLevel="1" x14ac:dyDescent="0.35">
      <c r="B139" s="54"/>
      <c r="C139" s="55"/>
      <c r="D139" s="55"/>
      <c r="E139" s="55"/>
      <c r="F139" s="55"/>
      <c r="G139" s="55"/>
      <c r="H139" s="55"/>
      <c r="I139" s="55"/>
      <c r="J139" s="55"/>
    </row>
    <row r="140" spans="2:10" outlineLevel="1" x14ac:dyDescent="0.3"/>
    <row r="141" spans="2:10" ht="18" outlineLevel="1" x14ac:dyDescent="0.35">
      <c r="B141" s="57" t="s">
        <v>165</v>
      </c>
      <c r="C141" s="57"/>
      <c r="D141" s="57"/>
      <c r="E141" s="57"/>
      <c r="F141" s="57"/>
      <c r="G141" s="57"/>
      <c r="H141" s="57"/>
      <c r="I141" s="57"/>
      <c r="J141" s="57"/>
    </row>
    <row r="142" spans="2:10" outlineLevel="1" x14ac:dyDescent="0.3"/>
    <row r="143" spans="2:10" ht="18" outlineLevel="1" x14ac:dyDescent="0.35">
      <c r="B143" s="52">
        <f>I132</f>
        <v>2047174.6979334848</v>
      </c>
      <c r="C143" s="53"/>
      <c r="D143" s="53"/>
      <c r="E143" s="53"/>
      <c r="F143" s="53"/>
      <c r="G143" s="53"/>
      <c r="H143" s="53"/>
      <c r="I143" s="53"/>
      <c r="J143" s="53"/>
    </row>
    <row r="144" spans="2:10" ht="18" outlineLevel="1" x14ac:dyDescent="0.35">
      <c r="B144" s="54"/>
      <c r="C144" s="55"/>
      <c r="D144" s="55"/>
      <c r="E144" s="55"/>
      <c r="F144" s="55"/>
      <c r="G144" s="55"/>
      <c r="H144" s="55"/>
      <c r="I144" s="55"/>
      <c r="J144" s="55"/>
    </row>
    <row r="145" spans="2:10" outlineLevel="1" x14ac:dyDescent="0.3"/>
    <row r="146" spans="2:10" ht="18" outlineLevel="1" x14ac:dyDescent="0.35">
      <c r="B146" s="57" t="s">
        <v>166</v>
      </c>
      <c r="C146" s="57"/>
      <c r="D146" s="57"/>
      <c r="E146" s="57"/>
      <c r="F146" s="57"/>
      <c r="G146" s="57"/>
      <c r="H146" s="57"/>
      <c r="I146" s="57"/>
      <c r="J146" s="57"/>
    </row>
    <row r="147" spans="2:10" outlineLevel="1" x14ac:dyDescent="0.3"/>
    <row r="148" spans="2:10" ht="18" outlineLevel="1" x14ac:dyDescent="0.35">
      <c r="B148" s="52">
        <f>SUM(B138,B143)</f>
        <v>2575618.9841348333</v>
      </c>
      <c r="C148" s="53"/>
      <c r="D148" s="53"/>
      <c r="E148" s="53"/>
      <c r="F148" s="53"/>
      <c r="G148" s="53"/>
      <c r="H148" s="53"/>
      <c r="I148" s="53"/>
      <c r="J148" s="53"/>
    </row>
    <row r="149" spans="2:10" ht="18" outlineLevel="1" x14ac:dyDescent="0.35">
      <c r="B149" s="54"/>
      <c r="C149" s="55"/>
      <c r="D149" s="55"/>
      <c r="E149" s="55"/>
      <c r="F149" s="55"/>
      <c r="G149" s="55"/>
      <c r="H149" s="55"/>
      <c r="I149" s="55"/>
      <c r="J149" s="55"/>
    </row>
    <row r="150" spans="2:10" outlineLevel="1" x14ac:dyDescent="0.3">
      <c r="B150" t="s">
        <v>166</v>
      </c>
      <c r="I150" s="28">
        <f>B148</f>
        <v>2575618.9841348333</v>
      </c>
    </row>
    <row r="151" spans="2:10" outlineLevel="1" x14ac:dyDescent="0.3">
      <c r="B151" t="s">
        <v>167</v>
      </c>
      <c r="I151" s="34">
        <f>H106</f>
        <v>313923</v>
      </c>
    </row>
    <row r="152" spans="2:10" outlineLevel="1" x14ac:dyDescent="0.3">
      <c r="B152" t="s">
        <v>168</v>
      </c>
      <c r="I152" s="34">
        <f>Comps!I5</f>
        <v>23196</v>
      </c>
    </row>
    <row r="153" spans="2:10" ht="15.6" outlineLevel="1" x14ac:dyDescent="0.3">
      <c r="B153" s="47" t="s">
        <v>169</v>
      </c>
      <c r="C153" s="48"/>
      <c r="D153" s="48"/>
      <c r="E153" s="48"/>
      <c r="F153" s="48"/>
      <c r="G153" s="48"/>
      <c r="H153" s="48"/>
      <c r="I153" s="49">
        <f>I150-I151+I152</f>
        <v>2284891.9841348333</v>
      </c>
    </row>
    <row r="154" spans="2:10" outlineLevel="1" x14ac:dyDescent="0.3">
      <c r="B154" t="s">
        <v>170</v>
      </c>
      <c r="I154">
        <f>'Data Sheet'!K93</f>
        <v>1353.25</v>
      </c>
    </row>
    <row r="155" spans="2:10" ht="15.6" outlineLevel="1" x14ac:dyDescent="0.3">
      <c r="B155" s="47" t="s">
        <v>171</v>
      </c>
      <c r="C155" s="48"/>
      <c r="D155" s="48"/>
      <c r="E155" s="48"/>
      <c r="F155" s="48"/>
      <c r="G155" s="48"/>
      <c r="H155" s="48"/>
      <c r="I155" s="50">
        <f>I153/I154</f>
        <v>1688.4477991020383</v>
      </c>
    </row>
    <row r="156" spans="2:10" outlineLevel="1" x14ac:dyDescent="0.3">
      <c r="B156" t="s">
        <v>172</v>
      </c>
      <c r="I156" s="20">
        <v>1226</v>
      </c>
    </row>
    <row r="157" spans="2:10" outlineLevel="1" x14ac:dyDescent="0.3">
      <c r="B157" t="s">
        <v>173</v>
      </c>
      <c r="I157" s="51">
        <f>I155/I156-1</f>
        <v>0.37720048866397904</v>
      </c>
    </row>
    <row r="159" spans="2:10" ht="31.2" x14ac:dyDescent="0.6">
      <c r="B159" s="56" t="s">
        <v>174</v>
      </c>
      <c r="C159" s="56"/>
      <c r="D159" s="56"/>
      <c r="E159" s="56"/>
      <c r="F159" s="56"/>
      <c r="G159" s="56"/>
      <c r="H159" s="56"/>
      <c r="I159" s="56"/>
      <c r="J159" s="56"/>
    </row>
    <row r="161" spans="2:10" outlineLevel="1" x14ac:dyDescent="0.3">
      <c r="B161" s="15" t="s">
        <v>175</v>
      </c>
    </row>
    <row r="162" spans="2:10" ht="15.6" outlineLevel="1" x14ac:dyDescent="0.3">
      <c r="B162" s="69">
        <f>I155</f>
        <v>1688.4477991020383</v>
      </c>
      <c r="C162" s="72">
        <f>D162-0.5%</f>
        <v>8.3499999999999991E-2</v>
      </c>
      <c r="D162" s="72">
        <f>E162-0.5%</f>
        <v>8.8499999999999995E-2</v>
      </c>
      <c r="E162" s="72">
        <f>F162-0.5%</f>
        <v>9.35E-2</v>
      </c>
      <c r="F162" s="72">
        <v>9.8500000000000004E-2</v>
      </c>
      <c r="G162" s="72">
        <f>F162+0.5%</f>
        <v>0.10350000000000001</v>
      </c>
      <c r="H162" s="72">
        <f t="shared" ref="H162" si="31">G162+0.5%</f>
        <v>0.10850000000000001</v>
      </c>
    </row>
    <row r="163" spans="2:10" outlineLevel="1" x14ac:dyDescent="0.3">
      <c r="B163" s="70">
        <f>B164-1%</f>
        <v>3.9999999999999994E-2</v>
      </c>
      <c r="C163" s="27">
        <f t="dataTable" ref="C163:H167" dt2D="1" dtr="1" r1="H117" r2="C23"/>
        <v>1619.4028834229325</v>
      </c>
      <c r="D163" s="27">
        <v>1431.3108925894089</v>
      </c>
      <c r="E163" s="27">
        <v>1278.3416783092016</v>
      </c>
      <c r="F163" s="27">
        <v>1151.4904829143966</v>
      </c>
      <c r="G163" s="27">
        <v>1044.588656188095</v>
      </c>
      <c r="H163" s="27">
        <v>953.26858102880374</v>
      </c>
    </row>
    <row r="164" spans="2:10" outlineLevel="1" x14ac:dyDescent="0.3">
      <c r="B164" s="70">
        <f>B165-1%</f>
        <v>4.9999999999999996E-2</v>
      </c>
      <c r="C164" s="27">
        <v>2062.637021112309</v>
      </c>
      <c r="D164" s="27">
        <v>1769.3502048343566</v>
      </c>
      <c r="E164" s="27">
        <v>1543.4204006124128</v>
      </c>
      <c r="F164" s="27">
        <v>1364.0173956350225</v>
      </c>
      <c r="G164" s="27">
        <v>1218.0979130201165</v>
      </c>
      <c r="H164" s="27">
        <v>1097.0778635712477</v>
      </c>
    </row>
    <row r="165" spans="2:10" outlineLevel="1" x14ac:dyDescent="0.3">
      <c r="B165" s="70">
        <v>0.06</v>
      </c>
      <c r="C165" s="71">
        <v>2883.0917015160485</v>
      </c>
      <c r="D165" s="71">
        <v>2344.6100870757587</v>
      </c>
      <c r="E165" s="71">
        <v>1966.7550765294811</v>
      </c>
      <c r="F165" s="71">
        <v>1686.9478993793489</v>
      </c>
      <c r="G165" s="71">
        <v>1471.381540809389</v>
      </c>
      <c r="H165" s="71">
        <v>1300.1899430384099</v>
      </c>
    </row>
    <row r="166" spans="2:10" outlineLevel="1" x14ac:dyDescent="0.3">
      <c r="B166" s="70">
        <f>B165+1%</f>
        <v>6.9999999999999993E-2</v>
      </c>
      <c r="C166" s="27">
        <v>4919.0347973327325</v>
      </c>
      <c r="D166" s="27">
        <v>3541.7725447132702</v>
      </c>
      <c r="E166" s="27">
        <v>2750.3745830142661</v>
      </c>
      <c r="F166" s="27">
        <v>2236.4963004881147</v>
      </c>
      <c r="G166" s="27">
        <v>1875.8792747415102</v>
      </c>
      <c r="H166" s="27">
        <v>1608.8147910599421</v>
      </c>
    </row>
    <row r="167" spans="2:10" outlineLevel="1" x14ac:dyDescent="0.3">
      <c r="B167" s="70">
        <f>B166+1%</f>
        <v>7.9999999999999988E-2</v>
      </c>
      <c r="C167" s="27">
        <v>18588.938440673319</v>
      </c>
      <c r="D167" s="27">
        <v>7555.7878438508069</v>
      </c>
      <c r="E167" s="27">
        <v>4694.911876883918</v>
      </c>
      <c r="F167" s="27">
        <v>3380.1510811739245</v>
      </c>
      <c r="G167" s="27">
        <v>2624.6303992541607</v>
      </c>
      <c r="H167" s="27">
        <v>2134.0184797983393</v>
      </c>
    </row>
    <row r="169" spans="2:10" ht="31.2" x14ac:dyDescent="0.6">
      <c r="B169" s="56" t="s">
        <v>176</v>
      </c>
      <c r="C169" s="56"/>
      <c r="D169" s="56"/>
      <c r="E169" s="56"/>
      <c r="F169" s="56"/>
      <c r="G169" s="56"/>
      <c r="H169" s="56"/>
      <c r="I169" s="56"/>
      <c r="J169" s="56"/>
    </row>
    <row r="172" spans="2:10" ht="17.399999999999999" outlineLevel="1" x14ac:dyDescent="0.3">
      <c r="B172" s="77" t="s">
        <v>177</v>
      </c>
    </row>
    <row r="173" spans="2:10" ht="17.399999999999999" outlineLevel="1" x14ac:dyDescent="0.3">
      <c r="B173" s="76" t="s">
        <v>184</v>
      </c>
    </row>
    <row r="174" spans="2:10" ht="17.399999999999999" outlineLevel="1" x14ac:dyDescent="0.3">
      <c r="B174" s="76"/>
    </row>
    <row r="175" spans="2:10" ht="17.399999999999999" outlineLevel="1" x14ac:dyDescent="0.3">
      <c r="B175" s="76" t="s">
        <v>185</v>
      </c>
    </row>
    <row r="176" spans="2:10" ht="17.399999999999999" outlineLevel="1" x14ac:dyDescent="0.3">
      <c r="B176" s="76"/>
    </row>
    <row r="177" spans="2:2" ht="17.399999999999999" outlineLevel="1" x14ac:dyDescent="0.3">
      <c r="B177" s="76" t="s">
        <v>186</v>
      </c>
    </row>
    <row r="178" spans="2:2" ht="17.399999999999999" outlineLevel="1" x14ac:dyDescent="0.3">
      <c r="B178" s="76"/>
    </row>
    <row r="179" spans="2:2" ht="17.399999999999999" outlineLevel="1" x14ac:dyDescent="0.3">
      <c r="B179" s="76" t="s">
        <v>187</v>
      </c>
    </row>
    <row r="180" spans="2:2" outlineLevel="1" x14ac:dyDescent="0.3"/>
    <row r="183" spans="2:2" ht="17.399999999999999" x14ac:dyDescent="0.3">
      <c r="B183" s="78" t="s">
        <v>178</v>
      </c>
    </row>
    <row r="184" spans="2:2" ht="17.399999999999999" outlineLevel="1" x14ac:dyDescent="0.3">
      <c r="B184" s="76" t="s">
        <v>179</v>
      </c>
    </row>
    <row r="185" spans="2:2" ht="18" outlineLevel="1" x14ac:dyDescent="0.3">
      <c r="B185" s="75"/>
    </row>
    <row r="186" spans="2:2" ht="17.399999999999999" outlineLevel="1" x14ac:dyDescent="0.3">
      <c r="B186" s="76" t="s">
        <v>180</v>
      </c>
    </row>
    <row r="187" spans="2:2" ht="18" outlineLevel="1" x14ac:dyDescent="0.3">
      <c r="B187" s="75"/>
    </row>
    <row r="188" spans="2:2" ht="17.399999999999999" outlineLevel="1" x14ac:dyDescent="0.3">
      <c r="B188" s="76" t="s">
        <v>181</v>
      </c>
    </row>
    <row r="189" spans="2:2" ht="18" outlineLevel="1" x14ac:dyDescent="0.3">
      <c r="B189" s="75"/>
    </row>
    <row r="190" spans="2:2" ht="17.399999999999999" outlineLevel="1" x14ac:dyDescent="0.3">
      <c r="B190" s="76" t="s">
        <v>182</v>
      </c>
    </row>
    <row r="191" spans="2:2" ht="18" outlineLevel="1" x14ac:dyDescent="0.3">
      <c r="B191" s="75"/>
    </row>
    <row r="192" spans="2:2" ht="17.399999999999999" outlineLevel="1" x14ac:dyDescent="0.3">
      <c r="B192" s="76" t="s">
        <v>183</v>
      </c>
    </row>
    <row r="193" spans="2:10" outlineLevel="1" x14ac:dyDescent="0.3"/>
    <row r="195" spans="2:10" ht="31.2" x14ac:dyDescent="0.6">
      <c r="B195" s="56" t="s">
        <v>188</v>
      </c>
      <c r="C195" s="56"/>
      <c r="D195" s="56"/>
      <c r="E195" s="56"/>
      <c r="F195" s="56"/>
      <c r="G195" s="56"/>
      <c r="H195" s="56"/>
      <c r="I195" s="56"/>
      <c r="J195" s="56"/>
    </row>
    <row r="197" spans="2:10" outlineLevel="1" x14ac:dyDescent="0.3">
      <c r="B197" s="80" t="s">
        <v>189</v>
      </c>
    </row>
    <row r="198" spans="2:10" outlineLevel="1" x14ac:dyDescent="0.3">
      <c r="B198" s="79"/>
    </row>
    <row r="199" spans="2:10" ht="17.399999999999999" outlineLevel="1" x14ac:dyDescent="0.3">
      <c r="B199" s="73" t="s">
        <v>190</v>
      </c>
    </row>
    <row r="200" spans="2:10" outlineLevel="1" x14ac:dyDescent="0.3">
      <c r="B200" s="81"/>
    </row>
    <row r="201" spans="2:10" outlineLevel="1" x14ac:dyDescent="0.3">
      <c r="B201" s="74" t="s">
        <v>191</v>
      </c>
    </row>
    <row r="202" spans="2:10" outlineLevel="1" x14ac:dyDescent="0.3">
      <c r="B202" s="81"/>
    </row>
    <row r="203" spans="2:10" outlineLevel="1" x14ac:dyDescent="0.3">
      <c r="B203" s="74" t="s">
        <v>192</v>
      </c>
    </row>
    <row r="204" spans="2:10" outlineLevel="1" x14ac:dyDescent="0.3">
      <c r="B204" s="81"/>
    </row>
    <row r="205" spans="2:10" outlineLevel="1" x14ac:dyDescent="0.3">
      <c r="B205" s="74" t="s">
        <v>193</v>
      </c>
    </row>
    <row r="206" spans="2:10" outlineLevel="1" x14ac:dyDescent="0.3">
      <c r="B206" s="79"/>
    </row>
    <row r="207" spans="2:10" ht="17.399999999999999" outlineLevel="1" x14ac:dyDescent="0.3">
      <c r="B207" s="73" t="s">
        <v>194</v>
      </c>
    </row>
    <row r="208" spans="2:10" outlineLevel="1" x14ac:dyDescent="0.3">
      <c r="B208" s="79"/>
    </row>
    <row r="209" spans="2:2" outlineLevel="1" x14ac:dyDescent="0.3">
      <c r="B209" s="80" t="s">
        <v>195</v>
      </c>
    </row>
    <row r="210" spans="2:2" outlineLevel="1" x14ac:dyDescent="0.3">
      <c r="B210" s="81"/>
    </row>
    <row r="211" spans="2:2" outlineLevel="1" x14ac:dyDescent="0.3">
      <c r="B211" s="74" t="s">
        <v>196</v>
      </c>
    </row>
    <row r="212" spans="2:2" outlineLevel="1" x14ac:dyDescent="0.3">
      <c r="B212" s="81"/>
    </row>
    <row r="213" spans="2:2" outlineLevel="1" x14ac:dyDescent="0.3">
      <c r="B213" s="74" t="s">
        <v>197</v>
      </c>
    </row>
    <row r="214" spans="2:2" outlineLevel="1" x14ac:dyDescent="0.3">
      <c r="B214" s="81"/>
    </row>
    <row r="215" spans="2:2" outlineLevel="1" x14ac:dyDescent="0.3">
      <c r="B215" s="74" t="s">
        <v>198</v>
      </c>
    </row>
    <row r="216" spans="2:2" outlineLevel="1" x14ac:dyDescent="0.3">
      <c r="B216" s="79"/>
    </row>
  </sheetData>
  <mergeCells count="50">
    <mergeCell ref="B159:J159"/>
    <mergeCell ref="B169:J169"/>
    <mergeCell ref="B195:J195"/>
    <mergeCell ref="B4:J4"/>
    <mergeCell ref="B16:J16"/>
    <mergeCell ref="B14:J14"/>
    <mergeCell ref="B2:S2"/>
    <mergeCell ref="B3:S3"/>
    <mergeCell ref="B5:S5"/>
    <mergeCell ref="B7:S7"/>
    <mergeCell ref="B8:S8"/>
    <mergeCell ref="B9:S9"/>
    <mergeCell ref="B10:S10"/>
    <mergeCell ref="B11:S11"/>
    <mergeCell ref="B12:S12"/>
    <mergeCell ref="B13:S13"/>
    <mergeCell ref="B107:G107"/>
    <mergeCell ref="B30:J30"/>
    <mergeCell ref="B58:J58"/>
    <mergeCell ref="B75:J75"/>
    <mergeCell ref="B85:J85"/>
    <mergeCell ref="B99:J99"/>
    <mergeCell ref="B101:G101"/>
    <mergeCell ref="B102:G102"/>
    <mergeCell ref="B103:G103"/>
    <mergeCell ref="B104:G104"/>
    <mergeCell ref="B105:G105"/>
    <mergeCell ref="B106:G106"/>
    <mergeCell ref="B127:J12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20:J120"/>
    <mergeCell ref="B148:J148"/>
    <mergeCell ref="B139:J139"/>
    <mergeCell ref="B144:J144"/>
    <mergeCell ref="B149:J149"/>
    <mergeCell ref="B134:J134"/>
    <mergeCell ref="B136:J136"/>
    <mergeCell ref="B141:J141"/>
    <mergeCell ref="B146:J146"/>
    <mergeCell ref="B138:J138"/>
    <mergeCell ref="B143:J143"/>
  </mergeCells>
  <phoneticPr fontId="22" type="noConversion"/>
  <dataValidations count="1">
    <dataValidation type="list" allowBlank="1" showInputMessage="1" showErrorMessage="1" sqref="C79" xr:uid="{34844345-C216-4BE2-8F13-0E20FB93895A}">
      <formula1>$B$80:$B$82</formula1>
    </dataValidation>
  </dataValidations>
  <hyperlinks>
    <hyperlink ref="B13" r:id="rId1" display="https://www.ril.com/about/our-impact" xr:uid="{24330F45-7798-4F09-8E1C-86E23349E4A5}"/>
  </hyperlinks>
  <pageMargins left="0.7" right="0.7" top="0.75" bottom="0.75" header="0.3" footer="0.3"/>
  <ignoredErrors>
    <ignoredError sqref="C39:H3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3DA9-2800-4E40-8A05-6FF45ABD62D5}">
  <dimension ref="A1:K93"/>
  <sheetViews>
    <sheetView zoomScale="92" zoomScaleNormal="120" zoomScalePageLayoutView="120" workbookViewId="0">
      <pane xSplit="1" ySplit="1" topLeftCell="B60" activePane="bottomRight" state="frozen"/>
      <selection activeCell="C4" sqref="C4"/>
      <selection pane="topRight" activeCell="C4" sqref="C4"/>
      <selection pane="bottomLeft" activeCell="C4" sqref="C4"/>
      <selection pane="bottomRight" activeCell="B93" sqref="B93"/>
    </sheetView>
  </sheetViews>
  <sheetFormatPr defaultColWidth="8.77734375" defaultRowHeight="14.4" x14ac:dyDescent="0.3"/>
  <cols>
    <col min="1" max="1" width="27.6640625" style="1" bestFit="1" customWidth="1"/>
    <col min="2" max="11" width="13.44140625" style="1" bestFit="1" customWidth="1"/>
    <col min="12" max="16384" width="8.77734375" style="1"/>
  </cols>
  <sheetData>
    <row r="1" spans="1:11" s="3" customFormat="1" x14ac:dyDescent="0.3">
      <c r="A1" s="3" t="s">
        <v>54</v>
      </c>
      <c r="B1" s="3" t="s">
        <v>53</v>
      </c>
      <c r="E1" s="66" t="str">
        <f>IF(B2&lt;&gt;B3, "A NEW VERSION OF THE WORKSHEET IS AVAILABLE", "")</f>
        <v/>
      </c>
      <c r="F1" s="66"/>
      <c r="G1" s="66"/>
      <c r="H1" s="66"/>
      <c r="I1" s="66"/>
      <c r="J1" s="66"/>
      <c r="K1" s="66"/>
    </row>
    <row r="2" spans="1:11" x14ac:dyDescent="0.3">
      <c r="A2" s="3" t="s">
        <v>52</v>
      </c>
      <c r="B2" s="1">
        <v>2.1</v>
      </c>
      <c r="E2" s="67" t="s">
        <v>51</v>
      </c>
      <c r="F2" s="67"/>
      <c r="G2" s="67"/>
      <c r="H2" s="67"/>
      <c r="I2" s="67"/>
      <c r="J2" s="67"/>
      <c r="K2" s="67"/>
    </row>
    <row r="3" spans="1:11" x14ac:dyDescent="0.3">
      <c r="A3" s="3" t="s">
        <v>50</v>
      </c>
      <c r="B3" s="1">
        <v>2.1</v>
      </c>
    </row>
    <row r="4" spans="1:11" x14ac:dyDescent="0.3">
      <c r="A4" s="3"/>
      <c r="B4" s="1" t="str">
        <f>'Data Sheet'!B1&amp;" -"</f>
        <v>RELIANCE INDUSTRIES LTD -</v>
      </c>
    </row>
    <row r="5" spans="1:11" x14ac:dyDescent="0.3">
      <c r="A5" s="3" t="s">
        <v>49</v>
      </c>
    </row>
    <row r="6" spans="1:11" x14ac:dyDescent="0.3">
      <c r="A6" s="1" t="s">
        <v>48</v>
      </c>
      <c r="B6" s="1">
        <f>IF(B9&gt;0, B9/B8, 0)</f>
        <v>1353.2534991843393</v>
      </c>
    </row>
    <row r="7" spans="1:11" x14ac:dyDescent="0.3">
      <c r="A7" s="1" t="s">
        <v>47</v>
      </c>
      <c r="B7" s="4">
        <v>10</v>
      </c>
    </row>
    <row r="8" spans="1:11" x14ac:dyDescent="0.3">
      <c r="A8" s="1" t="s">
        <v>46</v>
      </c>
      <c r="B8" s="4">
        <v>1226</v>
      </c>
      <c r="C8" s="1">
        <f>IFERROR('Data Sheet'!C18,'Data Sheet'!C20:C22)*-1</f>
        <v>-276076</v>
      </c>
    </row>
    <row r="9" spans="1:11" x14ac:dyDescent="0.3">
      <c r="A9" s="1" t="s">
        <v>45</v>
      </c>
      <c r="B9" s="4">
        <v>1659088.79</v>
      </c>
    </row>
    <row r="15" spans="1:11" x14ac:dyDescent="0.3">
      <c r="A15" s="3" t="s">
        <v>44</v>
      </c>
    </row>
    <row r="16" spans="1:11" s="6" customFormat="1" x14ac:dyDescent="0.3">
      <c r="A16" s="8" t="s">
        <v>7</v>
      </c>
      <c r="B16" s="7">
        <v>42825</v>
      </c>
      <c r="C16" s="7">
        <v>43190</v>
      </c>
      <c r="D16" s="7">
        <v>43555</v>
      </c>
      <c r="E16" s="7">
        <v>43921</v>
      </c>
      <c r="F16" s="7">
        <v>44286</v>
      </c>
      <c r="G16" s="7">
        <v>44651</v>
      </c>
      <c r="H16" s="7">
        <v>45016</v>
      </c>
      <c r="I16" s="7">
        <v>45382</v>
      </c>
      <c r="J16" s="7">
        <v>45747</v>
      </c>
      <c r="K16" s="7">
        <v>46112</v>
      </c>
    </row>
    <row r="17" spans="1:11" s="5" customFormat="1" x14ac:dyDescent="0.3">
      <c r="A17" s="5" t="s">
        <v>34</v>
      </c>
      <c r="B17" s="4">
        <v>303954</v>
      </c>
      <c r="C17" s="4">
        <v>390823</v>
      </c>
      <c r="D17" s="4">
        <v>568337</v>
      </c>
      <c r="E17" s="4">
        <v>596679</v>
      </c>
      <c r="F17" s="4">
        <v>466307</v>
      </c>
      <c r="G17" s="4">
        <v>694673</v>
      </c>
      <c r="H17" s="4">
        <v>876396</v>
      </c>
      <c r="I17" s="4">
        <v>899041</v>
      </c>
      <c r="J17" s="4">
        <v>962820</v>
      </c>
      <c r="K17" s="4">
        <v>1055780</v>
      </c>
    </row>
    <row r="18" spans="1:11" s="5" customFormat="1" x14ac:dyDescent="0.3">
      <c r="A18" s="1" t="s">
        <v>43</v>
      </c>
      <c r="B18" s="4">
        <v>217518</v>
      </c>
      <c r="C18" s="4">
        <v>276076</v>
      </c>
      <c r="D18" s="4">
        <v>399167</v>
      </c>
      <c r="E18" s="4">
        <v>410288</v>
      </c>
      <c r="F18" s="4">
        <v>301765</v>
      </c>
      <c r="G18" s="4">
        <v>494449</v>
      </c>
      <c r="H18" s="4">
        <v>618746</v>
      </c>
      <c r="I18" s="4">
        <v>590226</v>
      </c>
      <c r="J18" s="4">
        <v>644813</v>
      </c>
      <c r="K18" s="4">
        <v>698930</v>
      </c>
    </row>
    <row r="19" spans="1:11" s="5" customFormat="1" x14ac:dyDescent="0.3">
      <c r="A19" s="1" t="s">
        <v>42</v>
      </c>
      <c r="B19" s="4">
        <v>5218</v>
      </c>
      <c r="C19" s="4">
        <v>8610</v>
      </c>
      <c r="D19" s="4">
        <v>4680</v>
      </c>
      <c r="E19" s="4">
        <v>5048</v>
      </c>
      <c r="F19" s="4">
        <v>9064</v>
      </c>
      <c r="G19" s="4">
        <v>21457</v>
      </c>
      <c r="H19" s="4">
        <v>30263</v>
      </c>
      <c r="I19" s="4">
        <v>4883</v>
      </c>
      <c r="J19" s="4">
        <v>15124</v>
      </c>
      <c r="K19" s="4">
        <v>10267</v>
      </c>
    </row>
    <row r="20" spans="1:11" s="5" customFormat="1" x14ac:dyDescent="0.3">
      <c r="A20" s="1" t="s">
        <v>41</v>
      </c>
      <c r="B20" s="4">
        <v>11251</v>
      </c>
      <c r="C20" s="4">
        <v>14569</v>
      </c>
      <c r="D20" s="4">
        <v>17029</v>
      </c>
      <c r="E20" s="4">
        <v>15098</v>
      </c>
      <c r="F20" s="4">
        <v>13214</v>
      </c>
      <c r="G20" s="4">
        <v>17902</v>
      </c>
      <c r="H20" s="4">
        <v>25062</v>
      </c>
      <c r="I20" s="4">
        <v>22137</v>
      </c>
      <c r="J20" s="4">
        <v>23823</v>
      </c>
      <c r="K20" s="4">
        <v>22069</v>
      </c>
    </row>
    <row r="21" spans="1:11" s="5" customFormat="1" x14ac:dyDescent="0.3">
      <c r="A21" s="1" t="s">
        <v>40</v>
      </c>
      <c r="B21" s="4">
        <v>9909</v>
      </c>
      <c r="C21" s="4">
        <v>9691</v>
      </c>
      <c r="D21" s="4">
        <v>12198</v>
      </c>
      <c r="E21" s="4">
        <v>11434</v>
      </c>
      <c r="F21" s="4">
        <v>7687</v>
      </c>
      <c r="G21" s="4">
        <v>12174</v>
      </c>
      <c r="H21" s="4">
        <v>19658</v>
      </c>
      <c r="I21" s="4">
        <v>18276</v>
      </c>
      <c r="J21" s="4">
        <v>18358</v>
      </c>
      <c r="K21" s="4">
        <v>21162</v>
      </c>
    </row>
    <row r="22" spans="1:11" s="5" customFormat="1" x14ac:dyDescent="0.3">
      <c r="A22" s="1" t="s">
        <v>39</v>
      </c>
      <c r="B22" s="4">
        <v>8388</v>
      </c>
      <c r="C22" s="4">
        <v>9523</v>
      </c>
      <c r="D22" s="4">
        <v>12488</v>
      </c>
      <c r="E22" s="4">
        <v>14075</v>
      </c>
      <c r="F22" s="4">
        <v>14817</v>
      </c>
      <c r="G22" s="4">
        <v>18758</v>
      </c>
      <c r="H22" s="4">
        <v>24872</v>
      </c>
      <c r="I22" s="4">
        <v>25679</v>
      </c>
      <c r="J22" s="4">
        <v>28559</v>
      </c>
      <c r="K22" s="4">
        <v>30318</v>
      </c>
    </row>
    <row r="23" spans="1:11" s="5" customFormat="1" x14ac:dyDescent="0.3">
      <c r="A23" s="1" t="s">
        <v>38</v>
      </c>
      <c r="B23" s="4">
        <v>18520</v>
      </c>
      <c r="C23" s="4">
        <v>29111</v>
      </c>
      <c r="D23" s="4">
        <v>50221</v>
      </c>
      <c r="E23" s="4">
        <v>62622</v>
      </c>
      <c r="F23" s="4">
        <v>56154</v>
      </c>
      <c r="G23" s="4">
        <v>63513</v>
      </c>
      <c r="H23" s="4">
        <v>67369</v>
      </c>
      <c r="I23" s="4">
        <v>77292</v>
      </c>
      <c r="J23" s="4">
        <v>88760</v>
      </c>
      <c r="K23" s="4">
        <v>104723</v>
      </c>
    </row>
    <row r="24" spans="1:11" s="5" customFormat="1" x14ac:dyDescent="0.3">
      <c r="A24" s="1" t="s">
        <v>37</v>
      </c>
      <c r="B24" s="4">
        <v>-2721</v>
      </c>
      <c r="C24" s="4">
        <v>-3852</v>
      </c>
      <c r="D24" s="4">
        <v>-2336</v>
      </c>
      <c r="E24" s="4">
        <v>-1056</v>
      </c>
      <c r="F24" s="4">
        <v>944</v>
      </c>
      <c r="G24" s="4">
        <v>753</v>
      </c>
      <c r="H24" s="4">
        <v>8634</v>
      </c>
      <c r="I24" s="4">
        <v>7816</v>
      </c>
      <c r="J24" s="4">
        <v>8033</v>
      </c>
      <c r="K24" s="4">
        <v>9780</v>
      </c>
    </row>
    <row r="25" spans="1:11" s="5" customFormat="1" x14ac:dyDescent="0.3">
      <c r="A25" s="5" t="s">
        <v>32</v>
      </c>
      <c r="B25" s="4">
        <v>9222</v>
      </c>
      <c r="C25" s="4">
        <v>9869</v>
      </c>
      <c r="D25" s="4">
        <v>8406</v>
      </c>
      <c r="E25" s="4">
        <v>8570</v>
      </c>
      <c r="F25" s="4">
        <v>22432</v>
      </c>
      <c r="G25" s="4">
        <v>19600</v>
      </c>
      <c r="H25" s="4">
        <v>12020</v>
      </c>
      <c r="I25" s="4">
        <v>15792</v>
      </c>
      <c r="J25" s="4">
        <v>17824</v>
      </c>
      <c r="K25" s="4">
        <v>28846</v>
      </c>
    </row>
    <row r="26" spans="1:11" s="5" customFormat="1" x14ac:dyDescent="0.3">
      <c r="A26" s="5" t="s">
        <v>31</v>
      </c>
      <c r="B26" s="4">
        <v>11646</v>
      </c>
      <c r="C26" s="4">
        <v>16706</v>
      </c>
      <c r="D26" s="4">
        <v>20934</v>
      </c>
      <c r="E26" s="4">
        <v>22203</v>
      </c>
      <c r="F26" s="4">
        <v>26572</v>
      </c>
      <c r="G26" s="4">
        <v>29782</v>
      </c>
      <c r="H26" s="4">
        <v>40303</v>
      </c>
      <c r="I26" s="4">
        <v>50832</v>
      </c>
      <c r="J26" s="4">
        <v>53136</v>
      </c>
      <c r="K26" s="4">
        <v>57688</v>
      </c>
    </row>
    <row r="27" spans="1:11" s="5" customFormat="1" x14ac:dyDescent="0.3">
      <c r="A27" s="5" t="s">
        <v>30</v>
      </c>
      <c r="B27" s="4">
        <v>3849</v>
      </c>
      <c r="C27" s="4">
        <v>8052</v>
      </c>
      <c r="D27" s="4">
        <v>16495</v>
      </c>
      <c r="E27" s="4">
        <v>22027</v>
      </c>
      <c r="F27" s="4">
        <v>21189</v>
      </c>
      <c r="G27" s="4">
        <v>14584</v>
      </c>
      <c r="H27" s="4">
        <v>19571</v>
      </c>
      <c r="I27" s="4">
        <v>23118</v>
      </c>
      <c r="J27" s="4">
        <v>24269</v>
      </c>
      <c r="K27" s="4">
        <v>27061</v>
      </c>
    </row>
    <row r="28" spans="1:11" s="5" customFormat="1" x14ac:dyDescent="0.3">
      <c r="A28" s="5" t="s">
        <v>29</v>
      </c>
      <c r="B28" s="4">
        <v>40034</v>
      </c>
      <c r="C28" s="4">
        <v>49426</v>
      </c>
      <c r="D28" s="4">
        <v>55227</v>
      </c>
      <c r="E28" s="4">
        <v>53606</v>
      </c>
      <c r="F28" s="4">
        <v>55461</v>
      </c>
      <c r="G28" s="4">
        <v>83815</v>
      </c>
      <c r="H28" s="4">
        <v>94464</v>
      </c>
      <c r="I28" s="4">
        <v>104340</v>
      </c>
      <c r="J28" s="4">
        <v>106017</v>
      </c>
      <c r="K28" s="4">
        <v>123162</v>
      </c>
    </row>
    <row r="29" spans="1:11" s="5" customFormat="1" x14ac:dyDescent="0.3">
      <c r="A29" s="5" t="s">
        <v>28</v>
      </c>
      <c r="B29" s="4">
        <v>10201</v>
      </c>
      <c r="C29" s="4">
        <v>13346</v>
      </c>
      <c r="D29" s="4">
        <v>15390</v>
      </c>
      <c r="E29" s="4">
        <v>13726</v>
      </c>
      <c r="F29" s="4">
        <v>1722</v>
      </c>
      <c r="G29" s="4">
        <v>15970</v>
      </c>
      <c r="H29" s="4">
        <v>20376</v>
      </c>
      <c r="I29" s="4">
        <v>25707</v>
      </c>
      <c r="J29" s="4">
        <v>25230</v>
      </c>
      <c r="K29" s="4">
        <v>27552</v>
      </c>
    </row>
    <row r="30" spans="1:11" s="5" customFormat="1" x14ac:dyDescent="0.3">
      <c r="A30" s="5" t="s">
        <v>27</v>
      </c>
      <c r="B30" s="4">
        <v>29901</v>
      </c>
      <c r="C30" s="4">
        <v>36075</v>
      </c>
      <c r="D30" s="4">
        <v>39588</v>
      </c>
      <c r="E30" s="4">
        <v>39354</v>
      </c>
      <c r="F30" s="4">
        <v>49128</v>
      </c>
      <c r="G30" s="4">
        <v>60705</v>
      </c>
      <c r="H30" s="4">
        <v>66702</v>
      </c>
      <c r="I30" s="4">
        <v>69621</v>
      </c>
      <c r="J30" s="4">
        <v>69648</v>
      </c>
      <c r="K30" s="4">
        <v>80775</v>
      </c>
    </row>
    <row r="31" spans="1:11" s="5" customFormat="1" x14ac:dyDescent="0.3">
      <c r="A31" s="5" t="s">
        <v>36</v>
      </c>
      <c r="B31" s="4">
        <v>3254.9</v>
      </c>
      <c r="C31" s="4">
        <v>3553.2</v>
      </c>
      <c r="D31" s="4">
        <v>3851.9</v>
      </c>
      <c r="E31" s="4">
        <v>4120.3500000000004</v>
      </c>
      <c r="F31" s="4">
        <v>4511.5</v>
      </c>
      <c r="G31" s="4">
        <v>5412</v>
      </c>
      <c r="H31" s="4">
        <v>6089.4</v>
      </c>
      <c r="I31" s="4">
        <v>6766</v>
      </c>
      <c r="J31" s="4">
        <v>7442.6</v>
      </c>
      <c r="K31" s="4">
        <v>8119.2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3" t="s">
        <v>35</v>
      </c>
    </row>
    <row r="41" spans="1:11" s="6" customFormat="1" x14ac:dyDescent="0.3">
      <c r="A41" s="8" t="s">
        <v>7</v>
      </c>
      <c r="B41" s="7">
        <v>45382</v>
      </c>
      <c r="C41" s="7">
        <v>45473</v>
      </c>
      <c r="D41" s="7">
        <v>45565</v>
      </c>
      <c r="E41" s="7">
        <v>45657</v>
      </c>
      <c r="F41" s="7">
        <v>45747</v>
      </c>
      <c r="G41" s="7">
        <v>45838</v>
      </c>
      <c r="H41" s="7">
        <v>45930</v>
      </c>
      <c r="I41" s="7">
        <v>46022</v>
      </c>
      <c r="J41" s="7">
        <v>46112</v>
      </c>
      <c r="K41" s="7">
        <v>46203</v>
      </c>
    </row>
    <row r="42" spans="1:11" s="5" customFormat="1" x14ac:dyDescent="0.3">
      <c r="A42" s="5" t="s">
        <v>34</v>
      </c>
      <c r="B42" s="4">
        <v>236533</v>
      </c>
      <c r="C42" s="4">
        <v>231784</v>
      </c>
      <c r="D42" s="4">
        <v>231535</v>
      </c>
      <c r="E42" s="4">
        <v>239986</v>
      </c>
      <c r="F42" s="4">
        <v>261388</v>
      </c>
      <c r="G42" s="4">
        <v>243632</v>
      </c>
      <c r="H42" s="4">
        <v>254623</v>
      </c>
      <c r="I42" s="4">
        <v>264905</v>
      </c>
      <c r="J42" s="4">
        <v>294059</v>
      </c>
      <c r="K42" s="4">
        <v>309468</v>
      </c>
    </row>
    <row r="43" spans="1:11" s="5" customFormat="1" x14ac:dyDescent="0.3">
      <c r="A43" s="5" t="s">
        <v>33</v>
      </c>
      <c r="B43" s="4">
        <v>194017</v>
      </c>
      <c r="C43" s="4">
        <v>193019</v>
      </c>
      <c r="D43" s="4">
        <v>192477</v>
      </c>
      <c r="E43" s="4">
        <v>196197</v>
      </c>
      <c r="F43" s="4">
        <v>217556</v>
      </c>
      <c r="G43" s="4">
        <v>200727</v>
      </c>
      <c r="H43" s="4">
        <v>208738</v>
      </c>
      <c r="I43" s="4">
        <v>218887</v>
      </c>
      <c r="J43" s="4">
        <v>249918</v>
      </c>
      <c r="K43" s="4">
        <v>261951</v>
      </c>
    </row>
    <row r="44" spans="1:11" s="5" customFormat="1" x14ac:dyDescent="0.3">
      <c r="A44" s="5" t="s">
        <v>32</v>
      </c>
      <c r="B44" s="4">
        <v>4534</v>
      </c>
      <c r="C44" s="4">
        <v>3983</v>
      </c>
      <c r="D44" s="4">
        <v>4876</v>
      </c>
      <c r="E44" s="4">
        <v>4214</v>
      </c>
      <c r="F44" s="4">
        <v>4905</v>
      </c>
      <c r="G44" s="4">
        <v>15119</v>
      </c>
      <c r="H44" s="4">
        <v>4482</v>
      </c>
      <c r="I44" s="4">
        <v>4914</v>
      </c>
      <c r="J44" s="4">
        <v>4447</v>
      </c>
      <c r="K44" s="4">
        <v>6550</v>
      </c>
    </row>
    <row r="45" spans="1:11" s="5" customFormat="1" x14ac:dyDescent="0.3">
      <c r="A45" s="5" t="s">
        <v>31</v>
      </c>
      <c r="B45" s="4">
        <v>13569</v>
      </c>
      <c r="C45" s="4">
        <v>13596</v>
      </c>
      <c r="D45" s="4">
        <v>12880</v>
      </c>
      <c r="E45" s="4">
        <v>13181</v>
      </c>
      <c r="F45" s="4">
        <v>13479</v>
      </c>
      <c r="G45" s="4">
        <v>13842</v>
      </c>
      <c r="H45" s="4">
        <v>14416</v>
      </c>
      <c r="I45" s="4">
        <v>14622</v>
      </c>
      <c r="J45" s="4">
        <v>14808</v>
      </c>
      <c r="K45" s="4">
        <v>15100</v>
      </c>
    </row>
    <row r="46" spans="1:11" s="5" customFormat="1" x14ac:dyDescent="0.3">
      <c r="A46" s="5" t="s">
        <v>30</v>
      </c>
      <c r="B46" s="4">
        <v>5761</v>
      </c>
      <c r="C46" s="4">
        <v>5918</v>
      </c>
      <c r="D46" s="4">
        <v>6017</v>
      </c>
      <c r="E46" s="4">
        <v>6179</v>
      </c>
      <c r="F46" s="4">
        <v>6155</v>
      </c>
      <c r="G46" s="4">
        <v>7036</v>
      </c>
      <c r="H46" s="4">
        <v>6827</v>
      </c>
      <c r="I46" s="4">
        <v>6613</v>
      </c>
      <c r="J46" s="4">
        <v>6585</v>
      </c>
      <c r="K46" s="4">
        <v>8337</v>
      </c>
    </row>
    <row r="47" spans="1:11" s="5" customFormat="1" x14ac:dyDescent="0.3">
      <c r="A47" s="5" t="s">
        <v>29</v>
      </c>
      <c r="B47" s="4">
        <v>27720</v>
      </c>
      <c r="C47" s="4">
        <v>23234</v>
      </c>
      <c r="D47" s="4">
        <v>25037</v>
      </c>
      <c r="E47" s="4">
        <v>28643</v>
      </c>
      <c r="F47" s="4">
        <v>29103</v>
      </c>
      <c r="G47" s="4">
        <v>37146</v>
      </c>
      <c r="H47" s="4">
        <v>29124</v>
      </c>
      <c r="I47" s="4">
        <v>29697</v>
      </c>
      <c r="J47" s="4">
        <v>27195</v>
      </c>
      <c r="K47" s="4">
        <v>30630</v>
      </c>
    </row>
    <row r="48" spans="1:11" s="5" customFormat="1" x14ac:dyDescent="0.3">
      <c r="A48" s="5" t="s">
        <v>28</v>
      </c>
      <c r="B48" s="4">
        <v>6577</v>
      </c>
      <c r="C48" s="4">
        <v>5786</v>
      </c>
      <c r="D48" s="4">
        <v>5936</v>
      </c>
      <c r="E48" s="4">
        <v>6839</v>
      </c>
      <c r="F48" s="4">
        <v>6669</v>
      </c>
      <c r="G48" s="4">
        <v>6465</v>
      </c>
      <c r="H48" s="4">
        <v>6978</v>
      </c>
      <c r="I48" s="4">
        <v>7530</v>
      </c>
      <c r="J48" s="4">
        <v>6579</v>
      </c>
      <c r="K48" s="4">
        <v>7629</v>
      </c>
    </row>
    <row r="49" spans="1:11" s="5" customFormat="1" x14ac:dyDescent="0.3">
      <c r="A49" s="5" t="s">
        <v>27</v>
      </c>
      <c r="B49" s="4">
        <v>18951</v>
      </c>
      <c r="C49" s="4">
        <v>15138</v>
      </c>
      <c r="D49" s="4">
        <v>16563</v>
      </c>
      <c r="E49" s="4">
        <v>18540</v>
      </c>
      <c r="F49" s="4">
        <v>19407</v>
      </c>
      <c r="G49" s="4">
        <v>26994</v>
      </c>
      <c r="H49" s="4">
        <v>18165</v>
      </c>
      <c r="I49" s="4">
        <v>18645</v>
      </c>
      <c r="J49" s="4">
        <v>16971</v>
      </c>
      <c r="K49" s="4">
        <v>20946</v>
      </c>
    </row>
    <row r="50" spans="1:11" x14ac:dyDescent="0.3">
      <c r="A50" s="5" t="s">
        <v>26</v>
      </c>
      <c r="B50" s="4">
        <v>42516</v>
      </c>
      <c r="C50" s="4">
        <v>38765</v>
      </c>
      <c r="D50" s="4">
        <v>39058</v>
      </c>
      <c r="E50" s="4">
        <v>43789</v>
      </c>
      <c r="F50" s="4">
        <v>43832</v>
      </c>
      <c r="G50" s="4">
        <v>42905</v>
      </c>
      <c r="H50" s="4">
        <v>45885</v>
      </c>
      <c r="I50" s="4">
        <v>46018</v>
      </c>
      <c r="J50" s="4">
        <v>44141</v>
      </c>
      <c r="K50" s="4">
        <v>47517</v>
      </c>
    </row>
    <row r="51" spans="1:11" x14ac:dyDescent="0.3">
      <c r="A51" s="3" t="s">
        <v>25</v>
      </c>
      <c r="B51" s="9">
        <v>16892.02</v>
      </c>
      <c r="C51" s="9">
        <v>20164.599999999999</v>
      </c>
      <c r="D51" s="9">
        <v>19850</v>
      </c>
      <c r="E51" s="9">
        <v>20404</v>
      </c>
      <c r="F51" s="9">
        <v>22268</v>
      </c>
      <c r="G51" s="9">
        <v>23828</v>
      </c>
      <c r="H51" s="9">
        <v>22359</v>
      </c>
      <c r="I51" s="9">
        <v>18164</v>
      </c>
      <c r="J51" s="9">
        <v>17822</v>
      </c>
      <c r="K51" s="9">
        <v>22113</v>
      </c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3" t="s">
        <v>24</v>
      </c>
    </row>
    <row r="56" spans="1:11" s="6" customFormat="1" x14ac:dyDescent="0.3">
      <c r="A56" s="8" t="s">
        <v>7</v>
      </c>
      <c r="B56" s="7">
        <v>42825</v>
      </c>
      <c r="C56" s="7">
        <v>43190</v>
      </c>
      <c r="D56" s="7">
        <v>43555</v>
      </c>
      <c r="E56" s="7">
        <v>43921</v>
      </c>
      <c r="F56" s="7">
        <v>44286</v>
      </c>
      <c r="G56" s="7">
        <v>44651</v>
      </c>
      <c r="H56" s="7">
        <v>45016</v>
      </c>
      <c r="I56" s="7">
        <v>45382</v>
      </c>
      <c r="J56" s="7">
        <v>45747</v>
      </c>
      <c r="K56" s="7">
        <v>46112</v>
      </c>
    </row>
    <row r="57" spans="1:11" x14ac:dyDescent="0.3">
      <c r="A57" s="5" t="s">
        <v>23</v>
      </c>
      <c r="B57" s="4">
        <v>2959</v>
      </c>
      <c r="C57" s="4">
        <v>5922</v>
      </c>
      <c r="D57" s="4">
        <v>5926</v>
      </c>
      <c r="E57" s="4">
        <v>6339</v>
      </c>
      <c r="F57" s="4">
        <v>6445</v>
      </c>
      <c r="G57" s="4">
        <v>6765</v>
      </c>
      <c r="H57" s="4">
        <v>6766</v>
      </c>
      <c r="I57" s="4">
        <v>6766</v>
      </c>
      <c r="J57" s="4">
        <v>13532</v>
      </c>
      <c r="K57" s="4">
        <v>13532</v>
      </c>
    </row>
    <row r="58" spans="1:11" x14ac:dyDescent="0.3">
      <c r="A58" s="5" t="s">
        <v>22</v>
      </c>
      <c r="B58" s="4">
        <v>260750</v>
      </c>
      <c r="C58" s="4">
        <v>287584</v>
      </c>
      <c r="D58" s="4">
        <v>381186</v>
      </c>
      <c r="E58" s="4">
        <v>442827</v>
      </c>
      <c r="F58" s="4">
        <v>693727</v>
      </c>
      <c r="G58" s="4">
        <v>772720</v>
      </c>
      <c r="H58" s="4">
        <v>709106</v>
      </c>
      <c r="I58" s="4">
        <v>786715</v>
      </c>
      <c r="J58" s="4">
        <v>829668</v>
      </c>
      <c r="K58" s="4">
        <v>890498</v>
      </c>
    </row>
    <row r="59" spans="1:11" x14ac:dyDescent="0.3">
      <c r="A59" s="5" t="s">
        <v>21</v>
      </c>
      <c r="B59" s="4">
        <v>217475</v>
      </c>
      <c r="C59" s="4">
        <v>239843</v>
      </c>
      <c r="D59" s="4">
        <v>307714</v>
      </c>
      <c r="E59" s="4">
        <v>355133</v>
      </c>
      <c r="F59" s="4">
        <v>278962</v>
      </c>
      <c r="G59" s="4">
        <v>319158</v>
      </c>
      <c r="H59" s="4">
        <v>451664</v>
      </c>
      <c r="I59" s="4">
        <v>350719</v>
      </c>
      <c r="J59" s="4">
        <v>374313</v>
      </c>
      <c r="K59" s="4">
        <v>402962</v>
      </c>
    </row>
    <row r="60" spans="1:11" x14ac:dyDescent="0.3">
      <c r="A60" s="5" t="s">
        <v>20</v>
      </c>
      <c r="B60" s="4">
        <v>225618</v>
      </c>
      <c r="C60" s="4">
        <v>277924</v>
      </c>
      <c r="D60" s="4">
        <v>302804</v>
      </c>
      <c r="E60" s="4">
        <v>358716</v>
      </c>
      <c r="F60" s="4">
        <v>340931</v>
      </c>
      <c r="G60" s="4">
        <v>399979</v>
      </c>
      <c r="H60" s="4">
        <v>438346</v>
      </c>
      <c r="I60" s="4">
        <v>610848</v>
      </c>
      <c r="J60" s="4">
        <v>732200</v>
      </c>
      <c r="K60" s="4">
        <v>870554</v>
      </c>
    </row>
    <row r="61" spans="1:11" s="3" customFormat="1" x14ac:dyDescent="0.3">
      <c r="A61" s="3" t="s">
        <v>15</v>
      </c>
      <c r="B61" s="4">
        <v>706802</v>
      </c>
      <c r="C61" s="4">
        <v>811273</v>
      </c>
      <c r="D61" s="4">
        <v>997630</v>
      </c>
      <c r="E61" s="4">
        <v>1163015</v>
      </c>
      <c r="F61" s="4">
        <v>1320065</v>
      </c>
      <c r="G61" s="4">
        <v>1498622</v>
      </c>
      <c r="H61" s="4">
        <v>1605882</v>
      </c>
      <c r="I61" s="4">
        <v>1755048</v>
      </c>
      <c r="J61" s="4">
        <v>1949713</v>
      </c>
      <c r="K61" s="4">
        <v>2177546</v>
      </c>
    </row>
    <row r="62" spans="1:11" x14ac:dyDescent="0.3">
      <c r="A62" s="5" t="s">
        <v>19</v>
      </c>
      <c r="B62" s="4">
        <v>198526</v>
      </c>
      <c r="C62" s="4">
        <v>403885</v>
      </c>
      <c r="D62" s="4">
        <v>398374</v>
      </c>
      <c r="E62" s="4">
        <v>532658</v>
      </c>
      <c r="F62" s="4">
        <v>541258</v>
      </c>
      <c r="G62" s="4">
        <v>627798</v>
      </c>
      <c r="H62" s="4">
        <v>724805</v>
      </c>
      <c r="I62" s="4">
        <v>779985</v>
      </c>
      <c r="J62" s="4">
        <v>999393</v>
      </c>
      <c r="K62" s="4">
        <v>1124795</v>
      </c>
    </row>
    <row r="63" spans="1:11" x14ac:dyDescent="0.3">
      <c r="A63" s="5" t="s">
        <v>18</v>
      </c>
      <c r="B63" s="4">
        <v>324837</v>
      </c>
      <c r="C63" s="4">
        <v>187022</v>
      </c>
      <c r="D63" s="4">
        <v>179463</v>
      </c>
      <c r="E63" s="4">
        <v>109106</v>
      </c>
      <c r="F63" s="4">
        <v>125953</v>
      </c>
      <c r="G63" s="4">
        <v>172506</v>
      </c>
      <c r="H63" s="4">
        <v>293752</v>
      </c>
      <c r="I63" s="4">
        <v>338855</v>
      </c>
      <c r="J63" s="4">
        <v>262358</v>
      </c>
      <c r="K63" s="4">
        <v>237686</v>
      </c>
    </row>
    <row r="64" spans="1:11" x14ac:dyDescent="0.3">
      <c r="A64" s="5" t="s">
        <v>17</v>
      </c>
      <c r="B64" s="4">
        <v>82899</v>
      </c>
      <c r="C64" s="4">
        <v>82862</v>
      </c>
      <c r="D64" s="4">
        <v>235635</v>
      </c>
      <c r="E64" s="4">
        <v>276767</v>
      </c>
      <c r="F64" s="4">
        <v>364828</v>
      </c>
      <c r="G64" s="4">
        <v>394264</v>
      </c>
      <c r="H64" s="4">
        <v>235560</v>
      </c>
      <c r="I64" s="4">
        <v>225672</v>
      </c>
      <c r="J64" s="4">
        <v>242381</v>
      </c>
      <c r="K64" s="4">
        <v>248332</v>
      </c>
    </row>
    <row r="65" spans="1:11" x14ac:dyDescent="0.3">
      <c r="A65" s="5" t="s">
        <v>16</v>
      </c>
      <c r="B65" s="4">
        <v>100540</v>
      </c>
      <c r="C65" s="4">
        <v>137504</v>
      </c>
      <c r="D65" s="4">
        <v>184158</v>
      </c>
      <c r="E65" s="4">
        <v>244484</v>
      </c>
      <c r="F65" s="4">
        <v>288026</v>
      </c>
      <c r="G65" s="4">
        <v>304054</v>
      </c>
      <c r="H65" s="4">
        <v>351765</v>
      </c>
      <c r="I65" s="4">
        <v>410536</v>
      </c>
      <c r="J65" s="4">
        <v>445581</v>
      </c>
      <c r="K65" s="4">
        <v>566733</v>
      </c>
    </row>
    <row r="66" spans="1:11" s="3" customFormat="1" x14ac:dyDescent="0.3">
      <c r="A66" s="3" t="s">
        <v>15</v>
      </c>
      <c r="B66" s="4">
        <v>706802</v>
      </c>
      <c r="C66" s="4">
        <v>811273</v>
      </c>
      <c r="D66" s="4">
        <v>997630</v>
      </c>
      <c r="E66" s="4">
        <v>1163015</v>
      </c>
      <c r="F66" s="4">
        <v>1320065</v>
      </c>
      <c r="G66" s="4">
        <v>1498622</v>
      </c>
      <c r="H66" s="4">
        <v>1605882</v>
      </c>
      <c r="I66" s="4">
        <v>1755048</v>
      </c>
      <c r="J66" s="4">
        <v>1949713</v>
      </c>
      <c r="K66" s="4">
        <v>2177546</v>
      </c>
    </row>
    <row r="67" spans="1:11" s="5" customFormat="1" x14ac:dyDescent="0.3">
      <c r="A67" s="5" t="s">
        <v>14</v>
      </c>
      <c r="B67" s="4">
        <v>8177</v>
      </c>
      <c r="C67" s="4">
        <v>17555</v>
      </c>
      <c r="D67" s="4">
        <v>30089</v>
      </c>
      <c r="E67" s="4">
        <v>19656</v>
      </c>
      <c r="F67" s="4">
        <v>19014</v>
      </c>
      <c r="G67" s="4">
        <v>23640</v>
      </c>
      <c r="H67" s="4">
        <v>28448</v>
      </c>
      <c r="I67" s="4">
        <v>31628</v>
      </c>
      <c r="J67" s="4">
        <v>42121</v>
      </c>
      <c r="K67" s="4">
        <v>58491</v>
      </c>
    </row>
    <row r="68" spans="1:11" x14ac:dyDescent="0.3">
      <c r="A68" s="5" t="s">
        <v>13</v>
      </c>
      <c r="B68" s="4">
        <v>48951</v>
      </c>
      <c r="C68" s="4">
        <v>60837</v>
      </c>
      <c r="D68" s="4">
        <v>67561</v>
      </c>
      <c r="E68" s="4">
        <v>73903</v>
      </c>
      <c r="F68" s="4">
        <v>81672</v>
      </c>
      <c r="G68" s="4">
        <v>107778</v>
      </c>
      <c r="H68" s="4">
        <v>140008</v>
      </c>
      <c r="I68" s="4">
        <v>152770</v>
      </c>
      <c r="J68" s="4">
        <v>146062</v>
      </c>
      <c r="K68" s="4">
        <v>166941</v>
      </c>
    </row>
    <row r="69" spans="1:11" x14ac:dyDescent="0.3">
      <c r="A69" s="1" t="s">
        <v>12</v>
      </c>
      <c r="B69" s="4">
        <v>3023</v>
      </c>
      <c r="C69" s="4">
        <v>4255</v>
      </c>
      <c r="D69" s="4">
        <v>11081</v>
      </c>
      <c r="E69" s="4">
        <v>30920</v>
      </c>
      <c r="F69" s="4">
        <v>17397</v>
      </c>
      <c r="G69" s="4">
        <v>36178</v>
      </c>
      <c r="H69" s="4">
        <v>68664</v>
      </c>
      <c r="I69" s="4">
        <v>97225</v>
      </c>
      <c r="J69" s="4">
        <v>106502</v>
      </c>
      <c r="K69" s="4">
        <v>145977</v>
      </c>
    </row>
    <row r="70" spans="1:11" x14ac:dyDescent="0.3">
      <c r="A70" s="1" t="s">
        <v>11</v>
      </c>
      <c r="B70" s="4">
        <v>2958924277</v>
      </c>
      <c r="C70" s="4">
        <v>5921826196</v>
      </c>
      <c r="D70" s="4">
        <v>5925868997</v>
      </c>
      <c r="E70" s="4">
        <v>6338693823</v>
      </c>
      <c r="F70" s="4">
        <v>6762068814</v>
      </c>
      <c r="G70" s="4">
        <v>6765994014</v>
      </c>
      <c r="H70" s="4">
        <v>6766094014</v>
      </c>
      <c r="I70" s="4">
        <v>6766094014</v>
      </c>
      <c r="J70" s="4">
        <v>13532515463</v>
      </c>
      <c r="K70" s="4">
        <v>13532472634</v>
      </c>
    </row>
    <row r="71" spans="1:11" x14ac:dyDescent="0.3">
      <c r="A71" s="1" t="s">
        <v>10</v>
      </c>
      <c r="C71" s="4">
        <v>2959863235</v>
      </c>
      <c r="D71" s="4">
        <v>2959863235</v>
      </c>
      <c r="J71" s="4">
        <v>6766186449</v>
      </c>
      <c r="K71" s="4">
        <v>11955084287</v>
      </c>
    </row>
    <row r="72" spans="1:11" x14ac:dyDescent="0.3">
      <c r="A72" s="1" t="s">
        <v>9</v>
      </c>
      <c r="B72" s="4">
        <v>10</v>
      </c>
      <c r="C72" s="4">
        <v>10</v>
      </c>
      <c r="D72" s="4">
        <v>10</v>
      </c>
      <c r="E72" s="4">
        <v>10</v>
      </c>
      <c r="F72" s="4">
        <v>10</v>
      </c>
      <c r="G72" s="4">
        <v>10</v>
      </c>
      <c r="H72" s="4">
        <v>10</v>
      </c>
      <c r="I72" s="4">
        <v>10</v>
      </c>
      <c r="J72" s="4">
        <v>10</v>
      </c>
      <c r="K72" s="4">
        <v>10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3" t="s">
        <v>8</v>
      </c>
    </row>
    <row r="81" spans="1:11" s="6" customFormat="1" x14ac:dyDescent="0.3">
      <c r="A81" s="8" t="s">
        <v>7</v>
      </c>
      <c r="B81" s="7">
        <v>42825</v>
      </c>
      <c r="C81" s="7">
        <v>43190</v>
      </c>
      <c r="D81" s="7">
        <v>43555</v>
      </c>
      <c r="E81" s="7">
        <v>43921</v>
      </c>
      <c r="F81" s="7">
        <v>44286</v>
      </c>
      <c r="G81" s="7">
        <v>44651</v>
      </c>
      <c r="H81" s="7">
        <v>45016</v>
      </c>
      <c r="I81" s="7">
        <v>45382</v>
      </c>
      <c r="J81" s="7">
        <v>45747</v>
      </c>
      <c r="K81" s="7">
        <v>46112</v>
      </c>
    </row>
    <row r="82" spans="1:11" s="3" customFormat="1" x14ac:dyDescent="0.3">
      <c r="A82" s="5" t="s">
        <v>6</v>
      </c>
      <c r="B82" s="4">
        <v>49550</v>
      </c>
      <c r="C82" s="4">
        <v>71459</v>
      </c>
      <c r="D82" s="4">
        <v>42346</v>
      </c>
      <c r="E82" s="4">
        <v>94877</v>
      </c>
      <c r="F82" s="4">
        <v>26958</v>
      </c>
      <c r="G82" s="4">
        <v>110654</v>
      </c>
      <c r="H82" s="4">
        <v>115032</v>
      </c>
      <c r="I82" s="4">
        <v>158788</v>
      </c>
      <c r="J82" s="4">
        <v>178703</v>
      </c>
      <c r="K82" s="4">
        <v>192113</v>
      </c>
    </row>
    <row r="83" spans="1:11" s="5" customFormat="1" x14ac:dyDescent="0.3">
      <c r="A83" s="5" t="s">
        <v>5</v>
      </c>
      <c r="B83" s="4">
        <v>-66201</v>
      </c>
      <c r="C83" s="4">
        <v>-68192</v>
      </c>
      <c r="D83" s="4">
        <v>-94507</v>
      </c>
      <c r="E83" s="4">
        <v>-72497</v>
      </c>
      <c r="F83" s="4">
        <v>-142385</v>
      </c>
      <c r="G83" s="4">
        <v>-109162</v>
      </c>
      <c r="H83" s="4">
        <v>-93001</v>
      </c>
      <c r="I83" s="4">
        <v>-113581</v>
      </c>
      <c r="J83" s="4">
        <v>-137535</v>
      </c>
      <c r="K83" s="4">
        <v>-101089</v>
      </c>
    </row>
    <row r="84" spans="1:11" s="5" customFormat="1" x14ac:dyDescent="0.3">
      <c r="A84" s="5" t="s">
        <v>4</v>
      </c>
      <c r="B84" s="4">
        <v>8617</v>
      </c>
      <c r="C84" s="4">
        <v>-2001</v>
      </c>
      <c r="D84" s="4">
        <v>55906</v>
      </c>
      <c r="E84" s="4">
        <v>-2541</v>
      </c>
      <c r="F84" s="4">
        <v>101904</v>
      </c>
      <c r="G84" s="4">
        <v>17289</v>
      </c>
      <c r="H84" s="4">
        <v>10455</v>
      </c>
      <c r="I84" s="4">
        <v>-16646</v>
      </c>
      <c r="J84" s="4">
        <v>-31891</v>
      </c>
      <c r="K84" s="4">
        <v>-51549</v>
      </c>
    </row>
    <row r="85" spans="1:11" s="3" customFormat="1" x14ac:dyDescent="0.3">
      <c r="A85" s="5" t="s">
        <v>3</v>
      </c>
      <c r="B85" s="4">
        <v>-8034</v>
      </c>
      <c r="C85" s="4">
        <v>1266</v>
      </c>
      <c r="D85" s="4">
        <v>3745</v>
      </c>
      <c r="E85" s="4">
        <v>19839</v>
      </c>
      <c r="F85" s="4">
        <v>-13523</v>
      </c>
      <c r="G85" s="4">
        <v>18781</v>
      </c>
      <c r="H85" s="4">
        <v>32486</v>
      </c>
      <c r="I85" s="4">
        <v>28561</v>
      </c>
      <c r="J85" s="4">
        <v>9277</v>
      </c>
      <c r="K85" s="4">
        <v>39475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3" customFormat="1" x14ac:dyDescent="0.3">
      <c r="A90" s="3" t="s">
        <v>2</v>
      </c>
      <c r="B90" s="4">
        <v>300.08999999999997</v>
      </c>
      <c r="C90" s="4">
        <v>401.08</v>
      </c>
      <c r="D90" s="4">
        <v>619.42999999999995</v>
      </c>
      <c r="E90" s="4">
        <v>506.06</v>
      </c>
      <c r="F90" s="4">
        <v>918.78</v>
      </c>
      <c r="G90" s="4">
        <v>1208.51</v>
      </c>
      <c r="H90" s="4">
        <v>1069.21</v>
      </c>
      <c r="I90" s="4">
        <v>1485.85</v>
      </c>
      <c r="J90" s="4">
        <v>1275.0999999999999</v>
      </c>
      <c r="K90" s="4">
        <v>1343.9</v>
      </c>
    </row>
    <row r="92" spans="1:11" s="3" customFormat="1" x14ac:dyDescent="0.3">
      <c r="A92" s="3" t="s">
        <v>1</v>
      </c>
    </row>
    <row r="93" spans="1:11" x14ac:dyDescent="0.3">
      <c r="A93" s="1" t="s">
        <v>0</v>
      </c>
      <c r="B93" s="2">
        <v>1387.22</v>
      </c>
      <c r="C93" s="2">
        <v>1351.39</v>
      </c>
      <c r="D93" s="2">
        <v>1352.26</v>
      </c>
      <c r="E93" s="2">
        <v>1352.37</v>
      </c>
      <c r="F93" s="2">
        <v>1267.8900000000001</v>
      </c>
      <c r="G93" s="2">
        <v>1352.98</v>
      </c>
      <c r="H93" s="2">
        <v>1353.12</v>
      </c>
      <c r="I93" s="2">
        <v>1353.14</v>
      </c>
      <c r="J93" s="2">
        <v>1353.24</v>
      </c>
      <c r="K93" s="2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DCB3270D-1043-4277-9C23-EB8327A89CC5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0A30-F3E8-4434-9491-AA2A4D197979}">
  <dimension ref="B2:I21"/>
  <sheetViews>
    <sheetView showGridLines="0" workbookViewId="0">
      <selection activeCell="I19" sqref="I19"/>
    </sheetView>
  </sheetViews>
  <sheetFormatPr defaultRowHeight="14.4" x14ac:dyDescent="0.3"/>
  <cols>
    <col min="2" max="2" width="21.33203125" bestFit="1" customWidth="1"/>
    <col min="3" max="3" width="9.88671875" bestFit="1" customWidth="1"/>
    <col min="4" max="4" width="13.109375" bestFit="1" customWidth="1"/>
    <col min="5" max="5" width="10.21875" bestFit="1" customWidth="1"/>
    <col min="6" max="6" width="11.44140625" bestFit="1" customWidth="1"/>
    <col min="7" max="7" width="10.6640625" bestFit="1" customWidth="1"/>
    <col min="8" max="8" width="11.33203125" bestFit="1" customWidth="1"/>
    <col min="9" max="9" width="17.21875" bestFit="1" customWidth="1"/>
  </cols>
  <sheetData>
    <row r="2" spans="2:9" ht="33.6" x14ac:dyDescent="0.65">
      <c r="B2" s="68" t="s">
        <v>131</v>
      </c>
      <c r="C2" s="68"/>
      <c r="D2" s="68"/>
      <c r="E2" s="68"/>
      <c r="F2" s="68"/>
      <c r="G2" s="68"/>
    </row>
    <row r="4" spans="2:9" x14ac:dyDescent="0.3">
      <c r="B4" s="11" t="s">
        <v>132</v>
      </c>
      <c r="C4" s="11" t="s">
        <v>133</v>
      </c>
      <c r="D4" s="11" t="s">
        <v>134</v>
      </c>
      <c r="E4" s="11" t="s">
        <v>135</v>
      </c>
      <c r="F4" s="11" t="s">
        <v>136</v>
      </c>
      <c r="G4" s="11" t="s">
        <v>137</v>
      </c>
      <c r="H4" s="31" t="s">
        <v>138</v>
      </c>
      <c r="I4" s="32" t="s">
        <v>139</v>
      </c>
    </row>
    <row r="5" spans="2:9" x14ac:dyDescent="0.3">
      <c r="B5" s="33" t="s">
        <v>140</v>
      </c>
      <c r="C5">
        <v>1226</v>
      </c>
      <c r="D5" s="34">
        <v>1659089</v>
      </c>
      <c r="E5">
        <v>313923</v>
      </c>
      <c r="F5">
        <v>0.49</v>
      </c>
      <c r="G5">
        <v>309468</v>
      </c>
      <c r="H5">
        <v>1.1499999999999999</v>
      </c>
      <c r="I5" s="34">
        <v>23196</v>
      </c>
    </row>
    <row r="6" spans="2:9" x14ac:dyDescent="0.3">
      <c r="B6" t="s">
        <v>141</v>
      </c>
      <c r="C6" s="34">
        <v>1837</v>
      </c>
      <c r="D6" s="34">
        <v>1146380</v>
      </c>
      <c r="E6" s="34">
        <v>211854</v>
      </c>
      <c r="F6">
        <v>1.31</v>
      </c>
      <c r="G6" s="34">
        <v>58539</v>
      </c>
      <c r="H6">
        <v>0.92</v>
      </c>
      <c r="I6" s="34">
        <v>15204</v>
      </c>
    </row>
    <row r="7" spans="2:9" x14ac:dyDescent="0.3">
      <c r="B7" s="35" t="s">
        <v>142</v>
      </c>
      <c r="C7">
        <v>136</v>
      </c>
      <c r="D7" s="34">
        <v>191625</v>
      </c>
      <c r="E7" s="34">
        <v>141610</v>
      </c>
      <c r="F7">
        <v>0.81</v>
      </c>
      <c r="G7" s="34">
        <v>266407</v>
      </c>
      <c r="H7">
        <v>0.95</v>
      </c>
      <c r="I7" s="34">
        <v>12410</v>
      </c>
    </row>
    <row r="8" spans="2:9" x14ac:dyDescent="0.3">
      <c r="B8" t="s">
        <v>143</v>
      </c>
      <c r="C8">
        <v>308</v>
      </c>
      <c r="D8" s="34">
        <v>133842</v>
      </c>
      <c r="E8" s="34">
        <v>64815</v>
      </c>
      <c r="F8">
        <v>0.94</v>
      </c>
      <c r="G8" s="34">
        <v>151277</v>
      </c>
      <c r="H8">
        <v>0.89</v>
      </c>
      <c r="I8" s="34">
        <v>4213</v>
      </c>
    </row>
    <row r="9" spans="2:9" x14ac:dyDescent="0.3">
      <c r="B9" t="s">
        <v>144</v>
      </c>
      <c r="C9" s="34">
        <v>2666</v>
      </c>
      <c r="D9" s="34">
        <v>142340</v>
      </c>
      <c r="E9">
        <v>684</v>
      </c>
      <c r="F9">
        <v>0.22</v>
      </c>
      <c r="G9" s="34">
        <v>4113</v>
      </c>
      <c r="H9">
        <v>1.21</v>
      </c>
      <c r="I9">
        <v>945</v>
      </c>
    </row>
    <row r="12" spans="2:9" ht="33.6" x14ac:dyDescent="0.65">
      <c r="B12" s="68" t="s">
        <v>145</v>
      </c>
      <c r="C12" s="68"/>
      <c r="D12" s="68"/>
      <c r="E12" s="68"/>
      <c r="F12" s="68"/>
      <c r="G12" s="68"/>
    </row>
    <row r="14" spans="2:9" x14ac:dyDescent="0.3">
      <c r="B14" s="11" t="s">
        <v>132</v>
      </c>
      <c r="C14" s="11" t="s">
        <v>146</v>
      </c>
      <c r="D14" s="11" t="s">
        <v>147</v>
      </c>
      <c r="E14" s="11" t="s">
        <v>121</v>
      </c>
      <c r="F14" s="11" t="s">
        <v>148</v>
      </c>
      <c r="G14" s="11" t="s">
        <v>149</v>
      </c>
      <c r="H14" s="11" t="s">
        <v>150</v>
      </c>
      <c r="I14" s="11" t="s">
        <v>151</v>
      </c>
    </row>
    <row r="15" spans="2:9" x14ac:dyDescent="0.3">
      <c r="B15" s="33" t="s">
        <v>140</v>
      </c>
      <c r="C15" s="34">
        <f>D5</f>
        <v>1659089</v>
      </c>
      <c r="D15">
        <f>E5</f>
        <v>313923</v>
      </c>
      <c r="E15" s="17">
        <f>D15/C15</f>
        <v>0.18921408073949017</v>
      </c>
      <c r="F15" s="17">
        <f>D15/(C15+D15)</f>
        <v>0.15910851023713996</v>
      </c>
      <c r="G15" s="17">
        <f>Tax_rate</f>
        <v>0.25</v>
      </c>
      <c r="H15">
        <f>H5</f>
        <v>1.1499999999999999</v>
      </c>
      <c r="I15" s="27">
        <f>H15/(1+E15)*(1-G15)</f>
        <v>0.72526890992046678</v>
      </c>
    </row>
    <row r="16" spans="2:9" x14ac:dyDescent="0.3">
      <c r="B16" t="s">
        <v>141</v>
      </c>
      <c r="C16" s="34">
        <f t="shared" ref="C16:D19" si="0">D6</f>
        <v>1146380</v>
      </c>
      <c r="D16">
        <f t="shared" si="0"/>
        <v>211854</v>
      </c>
      <c r="E16" s="17">
        <f t="shared" ref="E16:E19" si="1">D16/C16</f>
        <v>0.18480259599783666</v>
      </c>
      <c r="F16" s="17">
        <f t="shared" ref="F16:F19" si="2">D16/(C16+D16)</f>
        <v>0.15597754142511527</v>
      </c>
      <c r="G16" s="17">
        <f>Tax_rate</f>
        <v>0.25</v>
      </c>
      <c r="H16">
        <f t="shared" ref="H16:H19" si="3">H6</f>
        <v>0.92</v>
      </c>
      <c r="I16" s="27">
        <f t="shared" ref="I16:I19" si="4">H16/(1+E16)*(1-G16)</f>
        <v>0.58237549641667041</v>
      </c>
    </row>
    <row r="17" spans="2:9" x14ac:dyDescent="0.3">
      <c r="B17" s="35" t="s">
        <v>142</v>
      </c>
      <c r="C17" s="34">
        <f t="shared" si="0"/>
        <v>191625</v>
      </c>
      <c r="D17">
        <f t="shared" si="0"/>
        <v>141610</v>
      </c>
      <c r="E17" s="17">
        <f t="shared" si="1"/>
        <v>0.73899543378995436</v>
      </c>
      <c r="F17" s="17">
        <f t="shared" si="2"/>
        <v>0.42495536183174037</v>
      </c>
      <c r="G17" s="17">
        <f>Tax_rate</f>
        <v>0.25</v>
      </c>
      <c r="H17">
        <f t="shared" si="3"/>
        <v>0.95</v>
      </c>
      <c r="I17" s="27">
        <f t="shared" si="4"/>
        <v>0.40971930469488499</v>
      </c>
    </row>
    <row r="18" spans="2:9" x14ac:dyDescent="0.3">
      <c r="B18" t="s">
        <v>143</v>
      </c>
      <c r="C18" s="34">
        <f t="shared" si="0"/>
        <v>133842</v>
      </c>
      <c r="D18">
        <f t="shared" si="0"/>
        <v>64815</v>
      </c>
      <c r="E18" s="17">
        <f t="shared" si="1"/>
        <v>0.48426502891469048</v>
      </c>
      <c r="F18" s="17">
        <f t="shared" si="2"/>
        <v>0.32626587535299534</v>
      </c>
      <c r="G18" s="17">
        <f>Tax_rate</f>
        <v>0.25</v>
      </c>
      <c r="H18">
        <f t="shared" si="3"/>
        <v>0.89</v>
      </c>
      <c r="I18" s="27">
        <f t="shared" si="4"/>
        <v>0.4497175282018756</v>
      </c>
    </row>
    <row r="19" spans="2:9" x14ac:dyDescent="0.3">
      <c r="B19" t="s">
        <v>144</v>
      </c>
      <c r="C19" s="34">
        <f t="shared" si="0"/>
        <v>142340</v>
      </c>
      <c r="D19">
        <f t="shared" si="0"/>
        <v>684</v>
      </c>
      <c r="E19" s="17">
        <f t="shared" si="1"/>
        <v>4.8053955318252076E-3</v>
      </c>
      <c r="F19" s="17">
        <f t="shared" si="2"/>
        <v>4.7824141402841485E-3</v>
      </c>
      <c r="G19" s="17">
        <f>Tax_rate</f>
        <v>0.25</v>
      </c>
      <c r="H19">
        <f t="shared" si="3"/>
        <v>1.21</v>
      </c>
      <c r="I19" s="27">
        <f t="shared" si="4"/>
        <v>0.90315995916769221</v>
      </c>
    </row>
    <row r="20" spans="2:9" x14ac:dyDescent="0.3">
      <c r="B20" s="37" t="s">
        <v>152</v>
      </c>
      <c r="C20" s="25"/>
      <c r="D20" s="25"/>
      <c r="E20" s="38">
        <f>AVERAGE(E15:E19)</f>
        <v>0.32041650699475943</v>
      </c>
      <c r="F20" s="38">
        <f t="shared" ref="F20:I20" si="5">AVERAGE(F15:F19)</f>
        <v>0.214217940597455</v>
      </c>
      <c r="G20" s="38">
        <f t="shared" si="5"/>
        <v>0.25</v>
      </c>
      <c r="H20" s="39">
        <f t="shared" si="5"/>
        <v>1.0239999999999998</v>
      </c>
      <c r="I20" s="39">
        <f t="shared" si="5"/>
        <v>0.61404823968031796</v>
      </c>
    </row>
    <row r="21" spans="2:9" x14ac:dyDescent="0.3">
      <c r="B21" s="37" t="s">
        <v>153</v>
      </c>
      <c r="C21" s="25"/>
      <c r="D21" s="25"/>
      <c r="E21" s="38">
        <f>MEDIAN(E15:E19)</f>
        <v>0.18921408073949017</v>
      </c>
      <c r="F21" s="38">
        <f t="shared" ref="F21:I21" si="6">MEDIAN(F15:F19)</f>
        <v>0.15910851023713996</v>
      </c>
      <c r="G21" s="38">
        <f t="shared" si="6"/>
        <v>0.25</v>
      </c>
      <c r="H21" s="39">
        <f t="shared" si="6"/>
        <v>0.95</v>
      </c>
      <c r="I21" s="39">
        <f t="shared" si="6"/>
        <v>0.58237549641667041</v>
      </c>
    </row>
  </sheetData>
  <mergeCells count="2">
    <mergeCell ref="B2:G2"/>
    <mergeCell ref="B12:G12"/>
  </mergeCells>
  <hyperlinks>
    <hyperlink ref="B5" r:id="rId1" display="https://trendlyne.com/fundamentals/financials/1127/RELIANCE/reliance-industries-ltd/" xr:uid="{22472AEE-D07B-4E5F-899D-37C7C567993C}"/>
    <hyperlink ref="B15" r:id="rId2" display="https://trendlyne.com/fundamentals/financials/1127/RELIANCE/reliance-industries-ltd/" xr:uid="{6515FDDA-6E44-4360-9E24-3E420F0DED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Data Sheet</vt:lpstr>
      <vt:lpstr>Comps</vt:lpstr>
      <vt:lpstr>Taper_rate</vt:lpstr>
      <vt:lpstr>Tax_rate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 Shaikh</dc:creator>
  <cp:lastModifiedBy>Talib Shaikh</cp:lastModifiedBy>
  <dcterms:created xsi:type="dcterms:W3CDTF">2026-09-26T04:56:46Z</dcterms:created>
  <dcterms:modified xsi:type="dcterms:W3CDTF">2026-09-27T11:38:49Z</dcterms:modified>
</cp:coreProperties>
</file>